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161392\Desktop\"/>
    </mc:Choice>
  </mc:AlternateContent>
  <xr:revisionPtr revIDLastSave="0" documentId="13_ncr:1_{B0EA187B-B99A-4B17-93B4-356229F9667A}" xr6:coauthVersionLast="47" xr6:coauthVersionMax="47" xr10:uidLastSave="{00000000-0000-0000-0000-000000000000}"/>
  <bookViews>
    <workbookView xWindow="-120" yWindow="-120" windowWidth="20730" windowHeight="11040" firstSheet="2" activeTab="2" xr2:uid="{C3EAD567-FEDC-4C1A-A07B-10844A0A4811}"/>
  </bookViews>
  <sheets>
    <sheet name="Base" sheetId="1" state="hidden" r:id="rId1"/>
    <sheet name="Calculo" sheetId="3" state="hidden" r:id="rId2"/>
    <sheet name="Dashboard" sheetId="4" r:id="rId3"/>
  </sheets>
  <definedNames>
    <definedName name="SegmentaçãodeDados_Pagamento">#N/A</definedName>
    <definedName name="SegmentaçãodeDados_Status">#N/A</definedName>
  </definedNames>
  <calcPr calcId="191029"/>
  <pivotCaches>
    <pivotCache cacheId="8" r:id="rId4"/>
    <pivotCache cacheId="3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3" l="1"/>
  <c r="I15" i="3"/>
  <c r="I14" i="3"/>
  <c r="I13" i="3"/>
</calcChain>
</file>

<file path=xl/sharedStrings.xml><?xml version="1.0" encoding="utf-8"?>
<sst xmlns="http://schemas.openxmlformats.org/spreadsheetml/2006/main" count="240" uniqueCount="77">
  <si>
    <t>ID Pedido</t>
  </si>
  <si>
    <t>Data</t>
  </si>
  <si>
    <t>Cliente</t>
  </si>
  <si>
    <t>Produto</t>
  </si>
  <si>
    <t>Categoria</t>
  </si>
  <si>
    <t>Qtd</t>
  </si>
  <si>
    <t>Valor Unit.</t>
  </si>
  <si>
    <t>Valor Total</t>
  </si>
  <si>
    <t>Pagamento</t>
  </si>
  <si>
    <t>Status</t>
  </si>
  <si>
    <t>João Silva</t>
  </si>
  <si>
    <t>Smartphone X</t>
  </si>
  <si>
    <t>Eletrônicos</t>
  </si>
  <si>
    <t>Cartão</t>
  </si>
  <si>
    <t>Concluído</t>
  </si>
  <si>
    <t>Maria Oliveira</t>
  </si>
  <si>
    <t>Fone Bluetooth</t>
  </si>
  <si>
    <t>Acessórios</t>
  </si>
  <si>
    <t>Pix</t>
  </si>
  <si>
    <t>Pedro Santos</t>
  </si>
  <si>
    <t>Cadeira Gamer</t>
  </si>
  <si>
    <t>Móveis</t>
  </si>
  <si>
    <t>Processando</t>
  </si>
  <si>
    <t>Ana Costa</t>
  </si>
  <si>
    <t>Teclado Mecânico</t>
  </si>
  <si>
    <t>Periféricos</t>
  </si>
  <si>
    <t>Boleto</t>
  </si>
  <si>
    <t>Lucas Lima</t>
  </si>
  <si>
    <t>Mouse Pad XL</t>
  </si>
  <si>
    <t>Carla Souza</t>
  </si>
  <si>
    <t>Monitor 24"</t>
  </si>
  <si>
    <t>Cancelado</t>
  </si>
  <si>
    <t>Marcos Jr</t>
  </si>
  <si>
    <t>Cabo HDMI 2m</t>
  </si>
  <si>
    <t>Julia Melo</t>
  </si>
  <si>
    <t>Mesa de Escritório</t>
  </si>
  <si>
    <t>Roberto Farias</t>
  </si>
  <si>
    <t>WebCam HD</t>
  </si>
  <si>
    <t>Fernanda Vaz</t>
  </si>
  <si>
    <t>Notebook Pro</t>
  </si>
  <si>
    <t>Tiago Silva</t>
  </si>
  <si>
    <t>Aline Rocha</t>
  </si>
  <si>
    <t>Bruno Alves</t>
  </si>
  <si>
    <t>Gisele B.</t>
  </si>
  <si>
    <t>Hugo Ferreira</t>
  </si>
  <si>
    <t>Igor Guimarães</t>
  </si>
  <si>
    <t>Letícia Luz</t>
  </si>
  <si>
    <t>Mauro Neto</t>
  </si>
  <si>
    <t>Nina Rosa</t>
  </si>
  <si>
    <t>Otávio P.</t>
  </si>
  <si>
    <t>Paula Diniz</t>
  </si>
  <si>
    <t>Queiroz M.</t>
  </si>
  <si>
    <t>Renan Kai</t>
  </si>
  <si>
    <t>Sara V.</t>
  </si>
  <si>
    <t>Tales G.</t>
  </si>
  <si>
    <t>Ursula A.</t>
  </si>
  <si>
    <t>Victor S.</t>
  </si>
  <si>
    <t>Wagner L.</t>
  </si>
  <si>
    <t>Xandó M.</t>
  </si>
  <si>
    <t>Yuri K.</t>
  </si>
  <si>
    <t>Zeca Pag.</t>
  </si>
  <si>
    <t>Arthur M.</t>
  </si>
  <si>
    <t>Beatriz C.</t>
  </si>
  <si>
    <t>Caio T.</t>
  </si>
  <si>
    <t>Diana R.</t>
  </si>
  <si>
    <t>Elias N.</t>
  </si>
  <si>
    <t>Fabio L.</t>
  </si>
  <si>
    <t>Gabi W.</t>
  </si>
  <si>
    <t>Heitor J.</t>
  </si>
  <si>
    <t>Iris B.</t>
  </si>
  <si>
    <t>ANÁLISE VENDAS</t>
  </si>
  <si>
    <t>Total Geral</t>
  </si>
  <si>
    <t>Rótulos de Linha</t>
  </si>
  <si>
    <t>Soma de Valor Total</t>
  </si>
  <si>
    <t>Total por produto</t>
  </si>
  <si>
    <t>Total tipo de pagamento</t>
  </si>
  <si>
    <t>Soma de 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</si>
</sst>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14" fontId="4" fillId="0" borderId="2" xfId="0" applyNumberFormat="1" applyFont="1" applyBorder="1" applyAlignment="1">
      <alignment horizontal="right" wrapText="1"/>
    </xf>
    <xf numFmtId="0" fontId="0" fillId="2" borderId="0" xfId="0" applyFill="1"/>
    <xf numFmtId="0" fontId="2" fillId="0" borderId="1" xfId="2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4" fillId="0" borderId="2" xfId="1" applyFont="1" applyBorder="1" applyAlignment="1">
      <alignment horizontal="right" wrapText="1"/>
    </xf>
    <xf numFmtId="44" fontId="0" fillId="0" borderId="0" xfId="0" applyNumberFormat="1"/>
  </cellXfs>
  <cellStyles count="3">
    <cellStyle name="Moeda" xfId="1" builtinId="4"/>
    <cellStyle name="Normal" xfId="0" builtinId="0"/>
    <cellStyle name="Título 1" xfId="2" builtinId="16"/>
  </cellStyles>
  <dxfs count="62"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fill>
        <patternFill>
          <bgColor theme="4"/>
        </patternFill>
      </fill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9" formatCode="dd/mm/yyyy"/>
    </dxf>
    <dxf>
      <border outline="0">
        <left style="medium">
          <color rgb="FFCCCCCC"/>
        </left>
      </border>
    </dxf>
    <dxf>
      <border outline="0">
        <right style="medium">
          <color rgb="FFCCCCCC"/>
        </right>
      </border>
    </dxf>
  </dxfs>
  <tableStyles count="2" defaultTableStyle="TableStyleMedium2" defaultPivotStyle="PivotStyleLight16">
    <tableStyle name="Estilo de Segmentação de Dados 1" pivot="0" table="0" count="1" xr9:uid="{9EEE793B-F6AE-486C-8199-052350322161}">
      <tableStyleElement type="wholeTable" dxfId="55"/>
    </tableStyle>
    <tableStyle name="Estilo de Segmentação de Dados 2" pivot="0" table="0" count="1" xr9:uid="{288753FF-1BC5-4F6F-8F60-461654281CD7}">
      <tableStyleElement type="wholeTable" dxfId="54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Vendas.xlsx]Calculo!Tabela dinâmica18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Total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Calculo!$C$21:$C$23</c:f>
              <c:strCache>
                <c:ptCount val="3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</c:strCache>
            </c:strRef>
          </c:cat>
          <c:val>
            <c:numRef>
              <c:f>Calculo!$D$21:$D$23</c:f>
              <c:numCache>
                <c:formatCode>_("R$"* #,##0.00_);_("R$"* \(#,##0.00\);_("R$"* "-"??_);_(@_)</c:formatCode>
                <c:ptCount val="3"/>
                <c:pt idx="0">
                  <c:v>150</c:v>
                </c:pt>
                <c:pt idx="1">
                  <c:v>900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0-4D3B-9E3A-5F538AEFE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647679"/>
        <c:axId val="871645759"/>
      </c:barChart>
      <c:catAx>
        <c:axId val="8716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1645759"/>
        <c:crosses val="autoZero"/>
        <c:auto val="1"/>
        <c:lblAlgn val="ctr"/>
        <c:lblOffset val="100"/>
        <c:noMultiLvlLbl val="0"/>
      </c:catAx>
      <c:valAx>
        <c:axId val="87164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164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0</xdr:row>
      <xdr:rowOff>0</xdr:rowOff>
    </xdr:from>
    <xdr:to>
      <xdr:col>0</xdr:col>
      <xdr:colOff>1171575</xdr:colOff>
      <xdr:row>4</xdr:row>
      <xdr:rowOff>76200</xdr:rowOff>
    </xdr:to>
    <xdr:pic>
      <xdr:nvPicPr>
        <xdr:cNvPr id="5" name="Gráfico 4" descr="Tendência ascendente">
          <a:extLst>
            <a:ext uri="{FF2B5EF4-FFF2-40B4-BE49-F238E27FC236}">
              <a16:creationId xmlns:a16="http://schemas.microsoft.com/office/drawing/2014/main" id="{688D5D75-A0EE-346F-8484-C598843B5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0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0</xdr:row>
      <xdr:rowOff>19050</xdr:rowOff>
    </xdr:from>
    <xdr:to>
      <xdr:col>1</xdr:col>
      <xdr:colOff>590550</xdr:colOff>
      <xdr:row>2</xdr:row>
      <xdr:rowOff>161925</xdr:rowOff>
    </xdr:to>
    <xdr:pic>
      <xdr:nvPicPr>
        <xdr:cNvPr id="7" name="Gráfico 6" descr="Carrinho">
          <a:extLst>
            <a:ext uri="{FF2B5EF4-FFF2-40B4-BE49-F238E27FC236}">
              <a16:creationId xmlns:a16="http://schemas.microsoft.com/office/drawing/2014/main" id="{462481E0-C395-DCFE-B6BD-7E2D3210E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42975" y="19050"/>
          <a:ext cx="590550" cy="5905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123825</xdr:rowOff>
    </xdr:from>
    <xdr:to>
      <xdr:col>8</xdr:col>
      <xdr:colOff>590550</xdr:colOff>
      <xdr:row>11</xdr:row>
      <xdr:rowOff>171450</xdr:rowOff>
    </xdr:to>
    <xdr:sp macro="" textlink="Calculo!I16">
      <xdr:nvSpPr>
        <xdr:cNvPr id="8" name="Retângulo: Cantos Arredondados 7">
          <a:extLst>
            <a:ext uri="{FF2B5EF4-FFF2-40B4-BE49-F238E27FC236}">
              <a16:creationId xmlns:a16="http://schemas.microsoft.com/office/drawing/2014/main" id="{7B7D79B0-E4F1-9017-52AB-5164F16F8FE9}"/>
            </a:ext>
          </a:extLst>
        </xdr:cNvPr>
        <xdr:cNvSpPr/>
      </xdr:nvSpPr>
      <xdr:spPr>
        <a:xfrm>
          <a:off x="2181225" y="962025"/>
          <a:ext cx="4238625" cy="138112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C73F559-C793-435E-85EC-6586AD790A38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5</a:t>
          </a:fld>
          <a:endParaRPr lang="pt-BR" sz="3600"/>
        </a:p>
      </xdr:txBody>
    </xdr:sp>
    <xdr:clientData/>
  </xdr:twoCellAnchor>
  <xdr:twoCellAnchor>
    <xdr:from>
      <xdr:col>2</xdr:col>
      <xdr:colOff>9525</xdr:colOff>
      <xdr:row>4</xdr:row>
      <xdr:rowOff>42862</xdr:rowOff>
    </xdr:from>
    <xdr:to>
      <xdr:col>8</xdr:col>
      <xdr:colOff>590550</xdr:colOff>
      <xdr:row>6</xdr:row>
      <xdr:rowOff>42862</xdr:rowOff>
    </xdr:to>
    <xdr:sp macro="" textlink="">
      <xdr:nvSpPr>
        <xdr:cNvPr id="18" name="Retângulo: Cantos Superiores Arredondados 17">
          <a:extLst>
            <a:ext uri="{FF2B5EF4-FFF2-40B4-BE49-F238E27FC236}">
              <a16:creationId xmlns:a16="http://schemas.microsoft.com/office/drawing/2014/main" id="{908B960E-41EF-F78C-186C-92144DB39E13}"/>
            </a:ext>
          </a:extLst>
        </xdr:cNvPr>
        <xdr:cNvSpPr/>
      </xdr:nvSpPr>
      <xdr:spPr>
        <a:xfrm>
          <a:off x="2181225" y="881062"/>
          <a:ext cx="4238625" cy="38100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Total Vendas Periféricos</a:t>
          </a:r>
        </a:p>
      </xdr:txBody>
    </xdr:sp>
    <xdr:clientData/>
  </xdr:twoCellAnchor>
  <xdr:twoCellAnchor>
    <xdr:from>
      <xdr:col>2</xdr:col>
      <xdr:colOff>9525</xdr:colOff>
      <xdr:row>12</xdr:row>
      <xdr:rowOff>90487</xdr:rowOff>
    </xdr:from>
    <xdr:to>
      <xdr:col>8</xdr:col>
      <xdr:colOff>590550</xdr:colOff>
      <xdr:row>20</xdr:row>
      <xdr:rowOff>28575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ACDD51A5-4912-FB4A-13E5-D8945513151C}"/>
            </a:ext>
          </a:extLst>
        </xdr:cNvPr>
        <xdr:cNvGrpSpPr/>
      </xdr:nvGrpSpPr>
      <xdr:grpSpPr>
        <a:xfrm>
          <a:off x="2181225" y="2452687"/>
          <a:ext cx="4238625" cy="1462088"/>
          <a:chOff x="2181225" y="2476500"/>
          <a:chExt cx="4238625" cy="1462088"/>
        </a:xfrm>
      </xdr:grpSpPr>
      <xdr:sp macro="" textlink="Calculo!I14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EB53CB03-2E64-4087-B3B7-AE50F859BF7C}"/>
              </a:ext>
            </a:extLst>
          </xdr:cNvPr>
          <xdr:cNvSpPr/>
        </xdr:nvSpPr>
        <xdr:spPr>
          <a:xfrm>
            <a:off x="2181225" y="2557463"/>
            <a:ext cx="4238625" cy="1381125"/>
          </a:xfrm>
          <a:prstGeom prst="round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EE0080E-BBF3-45D5-8E66-63065907D30D}" type="TxLink">
              <a:rPr lang="en-US" sz="3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</a:t>
            </a:fld>
            <a:endParaRPr lang="pt-BR" sz="3600"/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C3C0D6E1-3202-4ACF-AB53-60B669237482}"/>
              </a:ext>
            </a:extLst>
          </xdr:cNvPr>
          <xdr:cNvSpPr/>
        </xdr:nvSpPr>
        <xdr:spPr>
          <a:xfrm>
            <a:off x="2181225" y="2476500"/>
            <a:ext cx="4238625" cy="381000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 Vendas Eletrônicos</a:t>
            </a:r>
          </a:p>
        </xdr:txBody>
      </xdr:sp>
    </xdr:grpSp>
    <xdr:clientData/>
  </xdr:twoCellAnchor>
  <xdr:twoCellAnchor>
    <xdr:from>
      <xdr:col>10</xdr:col>
      <xdr:colOff>142875</xdr:colOff>
      <xdr:row>4</xdr:row>
      <xdr:rowOff>42862</xdr:rowOff>
    </xdr:from>
    <xdr:to>
      <xdr:col>17</xdr:col>
      <xdr:colOff>114300</xdr:colOff>
      <xdr:row>11</xdr:row>
      <xdr:rowOff>171450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E7037648-E741-0039-F15F-A21533841E2E}"/>
            </a:ext>
          </a:extLst>
        </xdr:cNvPr>
        <xdr:cNvGrpSpPr/>
      </xdr:nvGrpSpPr>
      <xdr:grpSpPr>
        <a:xfrm>
          <a:off x="7191375" y="881062"/>
          <a:ext cx="4238625" cy="1462088"/>
          <a:chOff x="7191375" y="876300"/>
          <a:chExt cx="4238625" cy="1462088"/>
        </a:xfrm>
      </xdr:grpSpPr>
      <xdr:sp macro="" textlink="Calculo!I15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4BE366CF-CA43-4083-8816-59EB2CFB2100}"/>
              </a:ext>
            </a:extLst>
          </xdr:cNvPr>
          <xdr:cNvSpPr/>
        </xdr:nvSpPr>
        <xdr:spPr>
          <a:xfrm>
            <a:off x="7191375" y="957263"/>
            <a:ext cx="4238625" cy="1381125"/>
          </a:xfrm>
          <a:prstGeom prst="round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0E5691A-2917-4957-A80D-83A059DA5444}" type="TxLink">
              <a:rPr lang="en-US" sz="3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4</a:t>
            </a:fld>
            <a:endParaRPr lang="pt-BR" sz="1100">
              <a:solidFill>
                <a:srgbClr val="FF0000"/>
              </a:solidFill>
            </a:endParaRPr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981F612A-554F-4330-A6DF-8D6AAF2C7D83}"/>
              </a:ext>
            </a:extLst>
          </xdr:cNvPr>
          <xdr:cNvSpPr/>
        </xdr:nvSpPr>
        <xdr:spPr>
          <a:xfrm>
            <a:off x="7191375" y="876300"/>
            <a:ext cx="4238625" cy="381000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Vendas Móveis</a:t>
            </a:r>
          </a:p>
        </xdr:txBody>
      </xdr:sp>
    </xdr:grpSp>
    <xdr:clientData/>
  </xdr:twoCellAnchor>
  <xdr:twoCellAnchor>
    <xdr:from>
      <xdr:col>10</xdr:col>
      <xdr:colOff>152400</xdr:colOff>
      <xdr:row>12</xdr:row>
      <xdr:rowOff>90487</xdr:rowOff>
    </xdr:from>
    <xdr:to>
      <xdr:col>17</xdr:col>
      <xdr:colOff>123825</xdr:colOff>
      <xdr:row>20</xdr:row>
      <xdr:rowOff>28575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8409CDB1-1FBA-BF0F-E3FA-BEE155DD3FB5}"/>
            </a:ext>
          </a:extLst>
        </xdr:cNvPr>
        <xdr:cNvGrpSpPr/>
      </xdr:nvGrpSpPr>
      <xdr:grpSpPr>
        <a:xfrm>
          <a:off x="7200900" y="2452687"/>
          <a:ext cx="4238625" cy="1462088"/>
          <a:chOff x="7200900" y="2428875"/>
          <a:chExt cx="4238625" cy="1462088"/>
        </a:xfrm>
      </xdr:grpSpPr>
      <xdr:sp macro="" textlink="Calculo!I13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55A843AA-46EA-474F-8F47-5CCDB7591AFD}"/>
              </a:ext>
            </a:extLst>
          </xdr:cNvPr>
          <xdr:cNvSpPr/>
        </xdr:nvSpPr>
        <xdr:spPr>
          <a:xfrm>
            <a:off x="7200900" y="2509838"/>
            <a:ext cx="4238625" cy="1381125"/>
          </a:xfrm>
          <a:prstGeom prst="round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97AEACC-5C15-4BC6-B6B2-F952860ED70C}" type="TxLink">
              <a:rPr lang="en-US" sz="3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5</a:t>
            </a:fld>
            <a:endParaRPr lang="pt-BR" sz="3600"/>
          </a:p>
        </xdr:txBody>
      </xdr: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DFD78733-75F2-4DCA-951B-4F6D003FC581}"/>
              </a:ext>
            </a:extLst>
          </xdr:cNvPr>
          <xdr:cNvSpPr/>
        </xdr:nvSpPr>
        <xdr:spPr>
          <a:xfrm>
            <a:off x="7200900" y="2428875"/>
            <a:ext cx="4238625" cy="381000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/>
              <a:t>Total Vendas Acessórios</a:t>
            </a:r>
          </a:p>
        </xdr:txBody>
      </xdr:sp>
    </xdr:grpSp>
    <xdr:clientData/>
  </xdr:twoCellAnchor>
  <xdr:twoCellAnchor>
    <xdr:from>
      <xdr:col>2</xdr:col>
      <xdr:colOff>9524</xdr:colOff>
      <xdr:row>21</xdr:row>
      <xdr:rowOff>142875</xdr:rowOff>
    </xdr:from>
    <xdr:to>
      <xdr:col>17</xdr:col>
      <xdr:colOff>114300</xdr:colOff>
      <xdr:row>36</xdr:row>
      <xdr:rowOff>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E7B18821-C022-4F00-8FA0-D90EECF97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0</xdr:colOff>
      <xdr:row>5</xdr:row>
      <xdr:rowOff>28575</xdr:rowOff>
    </xdr:from>
    <xdr:to>
      <xdr:col>1</xdr:col>
      <xdr:colOff>6349</xdr:colOff>
      <xdr:row>11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Tipo Pagamento">
              <a:extLst>
                <a:ext uri="{FF2B5EF4-FFF2-40B4-BE49-F238E27FC236}">
                  <a16:creationId xmlns:a16="http://schemas.microsoft.com/office/drawing/2014/main" id="{283C7241-D733-4F6B-A9DD-5433833876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Pag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57275"/>
              <a:ext cx="1568449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257176</xdr:colOff>
      <xdr:row>26</xdr:row>
      <xdr:rowOff>0</xdr:rowOff>
    </xdr:from>
    <xdr:to>
      <xdr:col>1</xdr:col>
      <xdr:colOff>0</xdr:colOff>
      <xdr:row>32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Status">
              <a:extLst>
                <a:ext uri="{FF2B5EF4-FFF2-40B4-BE49-F238E27FC236}">
                  <a16:creationId xmlns:a16="http://schemas.microsoft.com/office/drawing/2014/main" id="{F7C5A452-BF27-B72B-E00F-04532872E6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6" y="5029200"/>
              <a:ext cx="1304924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Almeida Porto" refreshedDate="46013.851926041665" createdVersion="8" refreshedVersion="8" minRefreshableVersion="3" recordCount="40" xr:uid="{3D74A043-6512-4F1F-91C6-082F8A005DE3}">
  <cacheSource type="worksheet">
    <worksheetSource name="Tabela1"/>
  </cacheSource>
  <cacheFields count="12">
    <cacheField name="ID Pedido" numFmtId="0">
      <sharedItems containsSemiMixedTypes="0" containsString="0" containsNumber="1" containsInteger="1" minValue="1001" maxValue="1040"/>
    </cacheField>
    <cacheField name="Data" numFmtId="14">
      <sharedItems containsSemiMixedTypes="0" containsNonDate="0" containsDate="1" containsString="0" minDate="2025-11-01T00:00:00" maxDate="2025-12-23T00:00:00" count="37">
        <d v="2025-11-01T00:00:00"/>
        <d v="2025-11-02T00:00:00"/>
        <d v="2025-11-03T00:00:00"/>
        <d v="2025-11-05T00:00:00"/>
        <d v="2025-11-06T00:00:00"/>
        <d v="2025-11-08T00:00:00"/>
        <d v="2025-11-10T00:00:00"/>
        <d v="2025-11-12T00:00:00"/>
        <d v="2025-11-14T00:00:00"/>
        <d v="2025-11-15T00:00:00"/>
        <d v="2025-11-17T00:00:00"/>
        <d v="2025-11-18T00:00:00"/>
        <d v="2025-11-20T00:00:00"/>
        <d v="2025-11-22T00:00:00"/>
        <d v="2025-11-23T00:00:00"/>
        <d v="2025-11-25T00:00:00"/>
        <d v="2025-11-26T00:00:00"/>
        <d v="2025-11-28T00:00:00"/>
        <d v="2025-11-30T00:00:00"/>
        <d v="2025-12-01T00:00:00"/>
        <d v="2025-12-02T00:00:00"/>
        <d v="2025-12-03T00:00:00"/>
        <d v="2025-12-05T00:00:00"/>
        <d v="2025-12-06T00:00:00"/>
        <d v="2025-12-07T00:00:00"/>
        <d v="2025-12-09T00:00:00"/>
        <d v="2025-12-10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</sharedItems>
      <fieldGroup par="11"/>
    </cacheField>
    <cacheField name="Cliente" numFmtId="0">
      <sharedItems/>
    </cacheField>
    <cacheField name="Produto" numFmtId="0">
      <sharedItems count="10">
        <s v="Smartphone X"/>
        <s v="Fone Bluetooth"/>
        <s v="Cadeira Gamer"/>
        <s v="Teclado Mecânico"/>
        <s v="Mouse Pad XL"/>
        <s v="Monitor 24&quot;"/>
        <s v="Cabo HDMI 2m"/>
        <s v="Mesa de Escritório"/>
        <s v="WebCam HD"/>
        <s v="Notebook Pro"/>
      </sharedItems>
    </cacheField>
    <cacheField name="Categoria" numFmtId="0">
      <sharedItems count="4">
        <s v="Eletrônicos"/>
        <s v="Acessórios"/>
        <s v="Móveis"/>
        <s v="Periféricos"/>
      </sharedItems>
    </cacheField>
    <cacheField name="Qtd" numFmtId="0">
      <sharedItems containsSemiMixedTypes="0" containsString="0" containsNumber="1" containsInteger="1" minValue="1" maxValue="5"/>
    </cacheField>
    <cacheField name="Valor Unit." numFmtId="0">
      <sharedItems containsSemiMixedTypes="0" containsString="0" containsNumber="1" containsInteger="1" minValue="30" maxValue="5500"/>
    </cacheField>
    <cacheField name="Valor Total" numFmtId="0">
      <sharedItems containsSemiMixedTypes="0" containsString="0" containsNumber="1" containsInteger="1" minValue="30" maxValue="5500" count="19">
        <n v="2500"/>
        <n v="300"/>
        <n v="1200"/>
        <n v="350"/>
        <n v="240"/>
        <n v="900"/>
        <n v="150"/>
        <n v="650"/>
        <n v="200"/>
        <n v="5500"/>
        <n v="160"/>
        <n v="1800"/>
        <n v="30"/>
        <n v="450"/>
        <n v="700"/>
        <n v="80"/>
        <n v="120"/>
        <n v="400"/>
        <n v="60"/>
      </sharedItems>
    </cacheField>
    <cacheField name="Pagamento" numFmtId="0">
      <sharedItems count="3">
        <s v="Cartão"/>
        <s v="Pix"/>
        <s v="Boleto"/>
      </sharedItems>
    </cacheField>
    <cacheField name="Status" numFmtId="0">
      <sharedItems count="3">
        <s v="Concluído"/>
        <s v="Processando"/>
        <s v="Cancelado"/>
      </sharedItems>
    </cacheField>
    <cacheField name="Dias (Data)" numFmtId="0" databaseField="0">
      <fieldGroup base="1">
        <rangePr groupBy="days" startDate="2025-11-01T00:00:00" endDate="2025-12-23T00:00:00"/>
        <groupItems count="368">
          <s v="&lt;01/1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3/12/2025"/>
        </groupItems>
      </fieldGroup>
    </cacheField>
    <cacheField name="Meses (Data)" numFmtId="0" databaseField="0">
      <fieldGroup base="1">
        <rangePr groupBy="months" startDate="2025-11-01T00:00:00" endDate="2025-12-23T00:00:00"/>
        <groupItems count="14">
          <s v="&lt;01/1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 pivotCacheId="141538340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Almeida Porto" refreshedDate="46013.86732662037" createdVersion="8" refreshedVersion="8" minRefreshableVersion="3" recordCount="40" xr:uid="{B58710D8-3F7E-47B8-9999-6B045C580B6E}">
  <cacheSource type="worksheet">
    <worksheetSource name="Tabela1"/>
  </cacheSource>
  <cacheFields count="10">
    <cacheField name="ID Pedido" numFmtId="0">
      <sharedItems containsSemiMixedTypes="0" containsString="0" containsNumber="1" containsInteger="1" minValue="1001" maxValue="1040"/>
    </cacheField>
    <cacheField name="Data" numFmtId="14">
      <sharedItems containsSemiMixedTypes="0" containsNonDate="0" containsDate="1" containsString="0" minDate="2025-11-01T00:00:00" maxDate="2025-12-23T00:00:00" count="37">
        <d v="2025-11-01T00:00:00"/>
        <d v="2025-11-02T00:00:00"/>
        <d v="2025-11-03T00:00:00"/>
        <d v="2025-11-05T00:00:00"/>
        <d v="2025-11-06T00:00:00"/>
        <d v="2025-11-08T00:00:00"/>
        <d v="2025-11-10T00:00:00"/>
        <d v="2025-11-12T00:00:00"/>
        <d v="2025-11-14T00:00:00"/>
        <d v="2025-11-15T00:00:00"/>
        <d v="2025-11-17T00:00:00"/>
        <d v="2025-11-18T00:00:00"/>
        <d v="2025-11-20T00:00:00"/>
        <d v="2025-11-22T00:00:00"/>
        <d v="2025-11-23T00:00:00"/>
        <d v="2025-11-25T00:00:00"/>
        <d v="2025-11-26T00:00:00"/>
        <d v="2025-11-28T00:00:00"/>
        <d v="2025-11-30T00:00:00"/>
        <d v="2025-12-01T00:00:00"/>
        <d v="2025-12-02T00:00:00"/>
        <d v="2025-12-03T00:00:00"/>
        <d v="2025-12-05T00:00:00"/>
        <d v="2025-12-06T00:00:00"/>
        <d v="2025-12-07T00:00:00"/>
        <d v="2025-12-09T00:00:00"/>
        <d v="2025-12-10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</sharedItems>
    </cacheField>
    <cacheField name="Cliente" numFmtId="0">
      <sharedItems/>
    </cacheField>
    <cacheField name="Produto" numFmtId="0">
      <sharedItems/>
    </cacheField>
    <cacheField name="Categoria" numFmtId="0">
      <sharedItems count="4">
        <s v="Eletrônicos"/>
        <s v="Acessórios"/>
        <s v="Móveis"/>
        <s v="Periféricos"/>
      </sharedItems>
    </cacheField>
    <cacheField name="Qtd" numFmtId="0">
      <sharedItems containsSemiMixedTypes="0" containsString="0" containsNumber="1" containsInteger="1" minValue="1" maxValue="5"/>
    </cacheField>
    <cacheField name="Valor Unit." numFmtId="44">
      <sharedItems containsSemiMixedTypes="0" containsString="0" containsNumber="1" containsInteger="1" minValue="30" maxValue="5500"/>
    </cacheField>
    <cacheField name="Valor Total" numFmtId="44">
      <sharedItems containsSemiMixedTypes="0" containsString="0" containsNumber="1" containsInteger="1" minValue="30" maxValue="5500"/>
    </cacheField>
    <cacheField name="Pagamento" numFmtId="0">
      <sharedItems/>
    </cacheField>
    <cacheField name="Status" numFmtId="0">
      <sharedItems count="3">
        <s v="Concluído"/>
        <s v="Processando"/>
        <s v="Cancelado"/>
      </sharedItems>
    </cacheField>
  </cacheFields>
  <extLst>
    <ext xmlns:x14="http://schemas.microsoft.com/office/spreadsheetml/2009/9/main" uri="{725AE2AE-9491-48be-B2B4-4EB974FC3084}">
      <x14:pivotCacheDefinition pivotCacheId="16034928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x v="0"/>
    <s v="João Silva"/>
    <x v="0"/>
    <x v="0"/>
    <n v="1"/>
    <n v="2500"/>
    <x v="0"/>
    <x v="0"/>
    <x v="0"/>
  </r>
  <r>
    <n v="1002"/>
    <x v="1"/>
    <s v="Maria Oliveira"/>
    <x v="1"/>
    <x v="1"/>
    <n v="2"/>
    <n v="150"/>
    <x v="1"/>
    <x v="1"/>
    <x v="0"/>
  </r>
  <r>
    <n v="1003"/>
    <x v="2"/>
    <s v="Pedro Santos"/>
    <x v="2"/>
    <x v="2"/>
    <n v="1"/>
    <n v="1200"/>
    <x v="2"/>
    <x v="0"/>
    <x v="1"/>
  </r>
  <r>
    <n v="1004"/>
    <x v="3"/>
    <s v="Ana Costa"/>
    <x v="3"/>
    <x v="3"/>
    <n v="1"/>
    <n v="350"/>
    <x v="3"/>
    <x v="2"/>
    <x v="0"/>
  </r>
  <r>
    <n v="1005"/>
    <x v="4"/>
    <s v="Lucas Lima"/>
    <x v="4"/>
    <x v="3"/>
    <n v="3"/>
    <n v="80"/>
    <x v="4"/>
    <x v="1"/>
    <x v="0"/>
  </r>
  <r>
    <n v="1006"/>
    <x v="5"/>
    <s v="Carla Souza"/>
    <x v="5"/>
    <x v="0"/>
    <n v="1"/>
    <n v="900"/>
    <x v="5"/>
    <x v="0"/>
    <x v="2"/>
  </r>
  <r>
    <n v="1007"/>
    <x v="6"/>
    <s v="Marcos Jr"/>
    <x v="6"/>
    <x v="1"/>
    <n v="5"/>
    <n v="30"/>
    <x v="6"/>
    <x v="1"/>
    <x v="0"/>
  </r>
  <r>
    <n v="1008"/>
    <x v="7"/>
    <s v="Julia Melo"/>
    <x v="7"/>
    <x v="2"/>
    <n v="1"/>
    <n v="650"/>
    <x v="7"/>
    <x v="0"/>
    <x v="0"/>
  </r>
  <r>
    <n v="1009"/>
    <x v="8"/>
    <s v="Roberto Farias"/>
    <x v="8"/>
    <x v="3"/>
    <n v="1"/>
    <n v="200"/>
    <x v="8"/>
    <x v="1"/>
    <x v="0"/>
  </r>
  <r>
    <n v="1010"/>
    <x v="9"/>
    <s v="Fernanda Vaz"/>
    <x v="9"/>
    <x v="0"/>
    <n v="1"/>
    <n v="5500"/>
    <x v="9"/>
    <x v="0"/>
    <x v="0"/>
  </r>
  <r>
    <n v="1011"/>
    <x v="10"/>
    <s v="Tiago Silva"/>
    <x v="0"/>
    <x v="0"/>
    <n v="1"/>
    <n v="2500"/>
    <x v="0"/>
    <x v="1"/>
    <x v="0"/>
  </r>
  <r>
    <n v="1012"/>
    <x v="11"/>
    <s v="Aline Rocha"/>
    <x v="1"/>
    <x v="1"/>
    <n v="1"/>
    <n v="150"/>
    <x v="6"/>
    <x v="0"/>
    <x v="1"/>
  </r>
  <r>
    <n v="1013"/>
    <x v="12"/>
    <s v="Bruno Alves"/>
    <x v="2"/>
    <x v="2"/>
    <n v="1"/>
    <n v="1200"/>
    <x v="2"/>
    <x v="2"/>
    <x v="0"/>
  </r>
  <r>
    <n v="1014"/>
    <x v="13"/>
    <s v="Gisele B."/>
    <x v="3"/>
    <x v="3"/>
    <n v="1"/>
    <n v="350"/>
    <x v="3"/>
    <x v="1"/>
    <x v="0"/>
  </r>
  <r>
    <n v="1015"/>
    <x v="14"/>
    <s v="Hugo Ferreira"/>
    <x v="4"/>
    <x v="3"/>
    <n v="2"/>
    <n v="80"/>
    <x v="10"/>
    <x v="0"/>
    <x v="0"/>
  </r>
  <r>
    <n v="1016"/>
    <x v="15"/>
    <s v="Igor Guimarães"/>
    <x v="5"/>
    <x v="0"/>
    <n v="2"/>
    <n v="900"/>
    <x v="11"/>
    <x v="0"/>
    <x v="0"/>
  </r>
  <r>
    <n v="1017"/>
    <x v="16"/>
    <s v="Letícia Luz"/>
    <x v="6"/>
    <x v="1"/>
    <n v="1"/>
    <n v="30"/>
    <x v="12"/>
    <x v="1"/>
    <x v="0"/>
  </r>
  <r>
    <n v="1018"/>
    <x v="17"/>
    <s v="Mauro Neto"/>
    <x v="7"/>
    <x v="2"/>
    <n v="1"/>
    <n v="650"/>
    <x v="7"/>
    <x v="2"/>
    <x v="2"/>
  </r>
  <r>
    <n v="1019"/>
    <x v="18"/>
    <s v="Nina Rosa"/>
    <x v="8"/>
    <x v="3"/>
    <n v="1"/>
    <n v="200"/>
    <x v="8"/>
    <x v="1"/>
    <x v="0"/>
  </r>
  <r>
    <n v="1020"/>
    <x v="19"/>
    <s v="Otávio P."/>
    <x v="9"/>
    <x v="0"/>
    <n v="1"/>
    <n v="5500"/>
    <x v="9"/>
    <x v="0"/>
    <x v="0"/>
  </r>
  <r>
    <n v="1021"/>
    <x v="20"/>
    <s v="Paula Diniz"/>
    <x v="0"/>
    <x v="0"/>
    <n v="1"/>
    <n v="2500"/>
    <x v="0"/>
    <x v="1"/>
    <x v="0"/>
  </r>
  <r>
    <n v="1022"/>
    <x v="21"/>
    <s v="Queiroz M."/>
    <x v="1"/>
    <x v="1"/>
    <n v="3"/>
    <n v="150"/>
    <x v="13"/>
    <x v="0"/>
    <x v="0"/>
  </r>
  <r>
    <n v="1023"/>
    <x v="22"/>
    <s v="Renan Kai"/>
    <x v="2"/>
    <x v="2"/>
    <n v="1"/>
    <n v="1200"/>
    <x v="2"/>
    <x v="1"/>
    <x v="1"/>
  </r>
  <r>
    <n v="1024"/>
    <x v="23"/>
    <s v="Sara V."/>
    <x v="3"/>
    <x v="3"/>
    <n v="2"/>
    <n v="350"/>
    <x v="14"/>
    <x v="0"/>
    <x v="0"/>
  </r>
  <r>
    <n v="1025"/>
    <x v="24"/>
    <s v="Tales G."/>
    <x v="4"/>
    <x v="3"/>
    <n v="1"/>
    <n v="80"/>
    <x v="15"/>
    <x v="1"/>
    <x v="0"/>
  </r>
  <r>
    <n v="1026"/>
    <x v="25"/>
    <s v="Ursula A."/>
    <x v="5"/>
    <x v="0"/>
    <n v="1"/>
    <n v="900"/>
    <x v="5"/>
    <x v="2"/>
    <x v="0"/>
  </r>
  <r>
    <n v="1027"/>
    <x v="26"/>
    <s v="Victor S."/>
    <x v="6"/>
    <x v="1"/>
    <n v="4"/>
    <n v="30"/>
    <x v="16"/>
    <x v="1"/>
    <x v="0"/>
  </r>
  <r>
    <n v="1028"/>
    <x v="27"/>
    <s v="Wagner L."/>
    <x v="7"/>
    <x v="2"/>
    <n v="1"/>
    <n v="650"/>
    <x v="7"/>
    <x v="0"/>
    <x v="0"/>
  </r>
  <r>
    <n v="1029"/>
    <x v="28"/>
    <s v="Xandó M."/>
    <x v="8"/>
    <x v="3"/>
    <n v="1"/>
    <n v="200"/>
    <x v="8"/>
    <x v="1"/>
    <x v="0"/>
  </r>
  <r>
    <n v="1030"/>
    <x v="29"/>
    <s v="Yuri K."/>
    <x v="9"/>
    <x v="0"/>
    <n v="1"/>
    <n v="5500"/>
    <x v="9"/>
    <x v="0"/>
    <x v="1"/>
  </r>
  <r>
    <n v="1031"/>
    <x v="30"/>
    <s v="Zeca Pag."/>
    <x v="0"/>
    <x v="0"/>
    <n v="1"/>
    <n v="2500"/>
    <x v="0"/>
    <x v="1"/>
    <x v="0"/>
  </r>
  <r>
    <n v="1032"/>
    <x v="31"/>
    <s v="Arthur M."/>
    <x v="1"/>
    <x v="1"/>
    <n v="1"/>
    <n v="150"/>
    <x v="6"/>
    <x v="0"/>
    <x v="2"/>
  </r>
  <r>
    <n v="1033"/>
    <x v="32"/>
    <s v="Beatriz C."/>
    <x v="2"/>
    <x v="2"/>
    <n v="1"/>
    <n v="1200"/>
    <x v="2"/>
    <x v="1"/>
    <x v="0"/>
  </r>
  <r>
    <n v="1034"/>
    <x v="33"/>
    <s v="Caio T."/>
    <x v="3"/>
    <x v="3"/>
    <n v="1"/>
    <n v="350"/>
    <x v="3"/>
    <x v="0"/>
    <x v="0"/>
  </r>
  <r>
    <n v="1035"/>
    <x v="34"/>
    <s v="Diana R."/>
    <x v="4"/>
    <x v="3"/>
    <n v="5"/>
    <n v="80"/>
    <x v="17"/>
    <x v="1"/>
    <x v="0"/>
  </r>
  <r>
    <n v="1036"/>
    <x v="35"/>
    <s v="Elias N."/>
    <x v="5"/>
    <x v="0"/>
    <n v="1"/>
    <n v="900"/>
    <x v="5"/>
    <x v="2"/>
    <x v="0"/>
  </r>
  <r>
    <n v="1037"/>
    <x v="35"/>
    <s v="Fabio L."/>
    <x v="6"/>
    <x v="1"/>
    <n v="2"/>
    <n v="30"/>
    <x v="18"/>
    <x v="1"/>
    <x v="0"/>
  </r>
  <r>
    <n v="1038"/>
    <x v="36"/>
    <s v="Gabi W."/>
    <x v="7"/>
    <x v="2"/>
    <n v="1"/>
    <n v="650"/>
    <x v="7"/>
    <x v="0"/>
    <x v="0"/>
  </r>
  <r>
    <n v="1039"/>
    <x v="36"/>
    <s v="Heitor J."/>
    <x v="8"/>
    <x v="3"/>
    <n v="2"/>
    <n v="200"/>
    <x v="17"/>
    <x v="1"/>
    <x v="0"/>
  </r>
  <r>
    <n v="1040"/>
    <x v="36"/>
    <s v="Iris B."/>
    <x v="9"/>
    <x v="0"/>
    <n v="1"/>
    <n v="5500"/>
    <x v="9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x v="0"/>
    <s v="João Silva"/>
    <s v="Smartphone X"/>
    <x v="0"/>
    <n v="1"/>
    <n v="2500"/>
    <n v="2500"/>
    <s v="Cartão"/>
    <x v="0"/>
  </r>
  <r>
    <n v="1002"/>
    <x v="1"/>
    <s v="Maria Oliveira"/>
    <s v="Fone Bluetooth"/>
    <x v="1"/>
    <n v="2"/>
    <n v="150"/>
    <n v="300"/>
    <s v="Pix"/>
    <x v="0"/>
  </r>
  <r>
    <n v="1003"/>
    <x v="2"/>
    <s v="Pedro Santos"/>
    <s v="Cadeira Gamer"/>
    <x v="2"/>
    <n v="1"/>
    <n v="1200"/>
    <n v="1200"/>
    <s v="Cartão"/>
    <x v="1"/>
  </r>
  <r>
    <n v="1004"/>
    <x v="3"/>
    <s v="Ana Costa"/>
    <s v="Teclado Mecânico"/>
    <x v="3"/>
    <n v="1"/>
    <n v="350"/>
    <n v="350"/>
    <s v="Boleto"/>
    <x v="0"/>
  </r>
  <r>
    <n v="1005"/>
    <x v="4"/>
    <s v="Lucas Lima"/>
    <s v="Mouse Pad XL"/>
    <x v="3"/>
    <n v="3"/>
    <n v="80"/>
    <n v="240"/>
    <s v="Pix"/>
    <x v="0"/>
  </r>
  <r>
    <n v="1006"/>
    <x v="5"/>
    <s v="Carla Souza"/>
    <s v="Monitor 24&quot;"/>
    <x v="0"/>
    <n v="1"/>
    <n v="900"/>
    <n v="900"/>
    <s v="Cartão"/>
    <x v="2"/>
  </r>
  <r>
    <n v="1007"/>
    <x v="6"/>
    <s v="Marcos Jr"/>
    <s v="Cabo HDMI 2m"/>
    <x v="1"/>
    <n v="5"/>
    <n v="30"/>
    <n v="150"/>
    <s v="Pix"/>
    <x v="0"/>
  </r>
  <r>
    <n v="1008"/>
    <x v="7"/>
    <s v="Julia Melo"/>
    <s v="Mesa de Escritório"/>
    <x v="2"/>
    <n v="1"/>
    <n v="650"/>
    <n v="650"/>
    <s v="Cartão"/>
    <x v="0"/>
  </r>
  <r>
    <n v="1009"/>
    <x v="8"/>
    <s v="Roberto Farias"/>
    <s v="WebCam HD"/>
    <x v="3"/>
    <n v="1"/>
    <n v="200"/>
    <n v="200"/>
    <s v="Pix"/>
    <x v="0"/>
  </r>
  <r>
    <n v="1010"/>
    <x v="9"/>
    <s v="Fernanda Vaz"/>
    <s v="Notebook Pro"/>
    <x v="0"/>
    <n v="1"/>
    <n v="5500"/>
    <n v="5500"/>
    <s v="Cartão"/>
    <x v="0"/>
  </r>
  <r>
    <n v="1011"/>
    <x v="10"/>
    <s v="Tiago Silva"/>
    <s v="Smartphone X"/>
    <x v="0"/>
    <n v="1"/>
    <n v="2500"/>
    <n v="2500"/>
    <s v="Pix"/>
    <x v="0"/>
  </r>
  <r>
    <n v="1012"/>
    <x v="11"/>
    <s v="Aline Rocha"/>
    <s v="Fone Bluetooth"/>
    <x v="1"/>
    <n v="1"/>
    <n v="150"/>
    <n v="150"/>
    <s v="Cartão"/>
    <x v="1"/>
  </r>
  <r>
    <n v="1013"/>
    <x v="12"/>
    <s v="Bruno Alves"/>
    <s v="Cadeira Gamer"/>
    <x v="2"/>
    <n v="1"/>
    <n v="1200"/>
    <n v="1200"/>
    <s v="Boleto"/>
    <x v="0"/>
  </r>
  <r>
    <n v="1014"/>
    <x v="13"/>
    <s v="Gisele B."/>
    <s v="Teclado Mecânico"/>
    <x v="3"/>
    <n v="1"/>
    <n v="350"/>
    <n v="350"/>
    <s v="Pix"/>
    <x v="0"/>
  </r>
  <r>
    <n v="1015"/>
    <x v="14"/>
    <s v="Hugo Ferreira"/>
    <s v="Mouse Pad XL"/>
    <x v="3"/>
    <n v="2"/>
    <n v="80"/>
    <n v="160"/>
    <s v="Cartão"/>
    <x v="0"/>
  </r>
  <r>
    <n v="1016"/>
    <x v="15"/>
    <s v="Igor Guimarães"/>
    <s v="Monitor 24&quot;"/>
    <x v="0"/>
    <n v="2"/>
    <n v="900"/>
    <n v="1800"/>
    <s v="Cartão"/>
    <x v="0"/>
  </r>
  <r>
    <n v="1017"/>
    <x v="16"/>
    <s v="Letícia Luz"/>
    <s v="Cabo HDMI 2m"/>
    <x v="1"/>
    <n v="1"/>
    <n v="30"/>
    <n v="30"/>
    <s v="Pix"/>
    <x v="0"/>
  </r>
  <r>
    <n v="1018"/>
    <x v="17"/>
    <s v="Mauro Neto"/>
    <s v="Mesa de Escritório"/>
    <x v="2"/>
    <n v="1"/>
    <n v="650"/>
    <n v="650"/>
    <s v="Boleto"/>
    <x v="2"/>
  </r>
  <r>
    <n v="1019"/>
    <x v="18"/>
    <s v="Nina Rosa"/>
    <s v="WebCam HD"/>
    <x v="3"/>
    <n v="1"/>
    <n v="200"/>
    <n v="200"/>
    <s v="Pix"/>
    <x v="0"/>
  </r>
  <r>
    <n v="1020"/>
    <x v="19"/>
    <s v="Otávio P."/>
    <s v="Notebook Pro"/>
    <x v="0"/>
    <n v="1"/>
    <n v="5500"/>
    <n v="5500"/>
    <s v="Cartão"/>
    <x v="0"/>
  </r>
  <r>
    <n v="1021"/>
    <x v="20"/>
    <s v="Paula Diniz"/>
    <s v="Smartphone X"/>
    <x v="0"/>
    <n v="1"/>
    <n v="2500"/>
    <n v="2500"/>
    <s v="Pix"/>
    <x v="0"/>
  </r>
  <r>
    <n v="1022"/>
    <x v="21"/>
    <s v="Queiroz M."/>
    <s v="Fone Bluetooth"/>
    <x v="1"/>
    <n v="3"/>
    <n v="150"/>
    <n v="450"/>
    <s v="Cartão"/>
    <x v="0"/>
  </r>
  <r>
    <n v="1023"/>
    <x v="22"/>
    <s v="Renan Kai"/>
    <s v="Cadeira Gamer"/>
    <x v="2"/>
    <n v="1"/>
    <n v="1200"/>
    <n v="1200"/>
    <s v="Pix"/>
    <x v="1"/>
  </r>
  <r>
    <n v="1024"/>
    <x v="23"/>
    <s v="Sara V."/>
    <s v="Teclado Mecânico"/>
    <x v="3"/>
    <n v="2"/>
    <n v="350"/>
    <n v="700"/>
    <s v="Cartão"/>
    <x v="0"/>
  </r>
  <r>
    <n v="1025"/>
    <x v="24"/>
    <s v="Tales G."/>
    <s v="Mouse Pad XL"/>
    <x v="3"/>
    <n v="1"/>
    <n v="80"/>
    <n v="80"/>
    <s v="Pix"/>
    <x v="0"/>
  </r>
  <r>
    <n v="1026"/>
    <x v="25"/>
    <s v="Ursula A."/>
    <s v="Monitor 24&quot;"/>
    <x v="0"/>
    <n v="1"/>
    <n v="900"/>
    <n v="900"/>
    <s v="Boleto"/>
    <x v="0"/>
  </r>
  <r>
    <n v="1027"/>
    <x v="26"/>
    <s v="Victor S."/>
    <s v="Cabo HDMI 2m"/>
    <x v="1"/>
    <n v="4"/>
    <n v="30"/>
    <n v="120"/>
    <s v="Pix"/>
    <x v="0"/>
  </r>
  <r>
    <n v="1028"/>
    <x v="27"/>
    <s v="Wagner L."/>
    <s v="Mesa de Escritório"/>
    <x v="2"/>
    <n v="1"/>
    <n v="650"/>
    <n v="650"/>
    <s v="Cartão"/>
    <x v="0"/>
  </r>
  <r>
    <n v="1029"/>
    <x v="28"/>
    <s v="Xandó M."/>
    <s v="WebCam HD"/>
    <x v="3"/>
    <n v="1"/>
    <n v="200"/>
    <n v="200"/>
    <s v="Pix"/>
    <x v="0"/>
  </r>
  <r>
    <n v="1030"/>
    <x v="29"/>
    <s v="Yuri K."/>
    <s v="Notebook Pro"/>
    <x v="0"/>
    <n v="1"/>
    <n v="5500"/>
    <n v="5500"/>
    <s v="Cartão"/>
    <x v="1"/>
  </r>
  <r>
    <n v="1031"/>
    <x v="30"/>
    <s v="Zeca Pag."/>
    <s v="Smartphone X"/>
    <x v="0"/>
    <n v="1"/>
    <n v="2500"/>
    <n v="2500"/>
    <s v="Pix"/>
    <x v="0"/>
  </r>
  <r>
    <n v="1032"/>
    <x v="31"/>
    <s v="Arthur M."/>
    <s v="Fone Bluetooth"/>
    <x v="1"/>
    <n v="1"/>
    <n v="150"/>
    <n v="150"/>
    <s v="Cartão"/>
    <x v="2"/>
  </r>
  <r>
    <n v="1033"/>
    <x v="32"/>
    <s v="Beatriz C."/>
    <s v="Cadeira Gamer"/>
    <x v="2"/>
    <n v="1"/>
    <n v="1200"/>
    <n v="1200"/>
    <s v="Pix"/>
    <x v="0"/>
  </r>
  <r>
    <n v="1034"/>
    <x v="33"/>
    <s v="Caio T."/>
    <s v="Teclado Mecânico"/>
    <x v="3"/>
    <n v="1"/>
    <n v="350"/>
    <n v="350"/>
    <s v="Cartão"/>
    <x v="0"/>
  </r>
  <r>
    <n v="1035"/>
    <x v="34"/>
    <s v="Diana R."/>
    <s v="Mouse Pad XL"/>
    <x v="3"/>
    <n v="5"/>
    <n v="80"/>
    <n v="400"/>
    <s v="Pix"/>
    <x v="0"/>
  </r>
  <r>
    <n v="1036"/>
    <x v="35"/>
    <s v="Elias N."/>
    <s v="Monitor 24&quot;"/>
    <x v="0"/>
    <n v="1"/>
    <n v="900"/>
    <n v="900"/>
    <s v="Boleto"/>
    <x v="0"/>
  </r>
  <r>
    <n v="1037"/>
    <x v="35"/>
    <s v="Fabio L."/>
    <s v="Cabo HDMI 2m"/>
    <x v="1"/>
    <n v="2"/>
    <n v="30"/>
    <n v="60"/>
    <s v="Pix"/>
    <x v="0"/>
  </r>
  <r>
    <n v="1038"/>
    <x v="36"/>
    <s v="Gabi W."/>
    <s v="Mesa de Escritório"/>
    <x v="2"/>
    <n v="1"/>
    <n v="650"/>
    <n v="650"/>
    <s v="Cartão"/>
    <x v="0"/>
  </r>
  <r>
    <n v="1039"/>
    <x v="36"/>
    <s v="Heitor J."/>
    <s v="WebCam HD"/>
    <x v="3"/>
    <n v="2"/>
    <n v="200"/>
    <n v="400"/>
    <s v="Pix"/>
    <x v="0"/>
  </r>
  <r>
    <n v="1040"/>
    <x v="36"/>
    <s v="Iris B."/>
    <s v="Notebook Pro"/>
    <x v="0"/>
    <n v="1"/>
    <n v="5500"/>
    <n v="5500"/>
    <s v="Cartã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FA7F3-E980-4B46-AC68-E4120C8B06C2}" name="Tabela dinâmica18" cacheId="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6">
  <location ref="C20:D23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h="1"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Soma de Valor Total" fld="7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63D96-907B-4785-9E7B-6FBBCE01A495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2:G17" firstHeaderRow="1" firstDataRow="1" firstDataCol="1"/>
  <pivotFields count="12">
    <pivotField showAll="0"/>
    <pivotField numFmtId="14" showAll="0">
      <items count="3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</pivotField>
    <pivotField showAll="0"/>
    <pivotField showAll="0">
      <items count="11">
        <item x="6"/>
        <item x="2"/>
        <item x="1"/>
        <item x="7"/>
        <item x="5"/>
        <item x="4"/>
        <item x="9"/>
        <item x="0"/>
        <item x="3"/>
        <item x="8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>
      <items count="20">
        <item x="12"/>
        <item x="18"/>
        <item x="15"/>
        <item x="16"/>
        <item x="6"/>
        <item x="10"/>
        <item x="8"/>
        <item x="4"/>
        <item x="1"/>
        <item x="3"/>
        <item x="17"/>
        <item x="13"/>
        <item x="7"/>
        <item x="14"/>
        <item x="5"/>
        <item x="2"/>
        <item x="11"/>
        <item x="0"/>
        <item x="9"/>
        <item t="default"/>
      </items>
    </pivotField>
    <pivotField showAll="0">
      <items count="4">
        <item h="1" x="2"/>
        <item x="0"/>
        <item h="1"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td" fld="5" baseField="0" baseItem="0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9C8D5-7706-442C-AEE5-4E21A8842E98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8" firstHeaderRow="1" firstDataRow="1" firstDataCol="1"/>
  <pivotFields count="12">
    <pivotField showAll="0"/>
    <pivotField numFmtId="14" showAll="0">
      <items count="3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</pivotField>
    <pivotField showAll="0"/>
    <pivotField showAll="0">
      <items count="11">
        <item x="6"/>
        <item x="2"/>
        <item x="1"/>
        <item x="7"/>
        <item x="5"/>
        <item x="4"/>
        <item x="9"/>
        <item x="0"/>
        <item x="3"/>
        <item x="8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>
      <items count="20">
        <item x="12"/>
        <item x="18"/>
        <item x="15"/>
        <item x="16"/>
        <item x="6"/>
        <item x="10"/>
        <item x="8"/>
        <item x="4"/>
        <item x="1"/>
        <item x="3"/>
        <item x="17"/>
        <item x="13"/>
        <item x="7"/>
        <item x="14"/>
        <item x="5"/>
        <item x="2"/>
        <item x="11"/>
        <item x="0"/>
        <item x="9"/>
        <item t="default"/>
      </items>
    </pivotField>
    <pivotField axis="axisRow" showAll="0">
      <items count="4">
        <item h="1" x="2"/>
        <item x="0"/>
        <item h="1" x="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2">
    <i>
      <x v="1"/>
    </i>
    <i t="grand">
      <x/>
    </i>
  </rowItems>
  <colItems count="1">
    <i/>
  </colItems>
  <dataFields count="1">
    <dataField name="Soma de Valor Total" fld="7" baseField="0" baseItem="0" numFmtId="44"/>
  </dataFields>
  <formats count="1"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BFE74-11BE-4100-9B56-85B1890DD3C2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6:D15" firstHeaderRow="1" firstDataRow="1" firstDataCol="1"/>
  <pivotFields count="12">
    <pivotField showAll="0"/>
    <pivotField numFmtId="14" showAll="0">
      <items count="3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</pivotField>
    <pivotField showAll="0"/>
    <pivotField axis="axisRow" showAll="0">
      <items count="11">
        <item x="6"/>
        <item x="2"/>
        <item x="1"/>
        <item x="7"/>
        <item x="5"/>
        <item x="4"/>
        <item x="9"/>
        <item x="0"/>
        <item x="3"/>
        <item x="8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>
      <items count="20">
        <item x="12"/>
        <item x="18"/>
        <item x="15"/>
        <item x="16"/>
        <item x="6"/>
        <item x="10"/>
        <item x="8"/>
        <item x="4"/>
        <item x="1"/>
        <item x="3"/>
        <item x="17"/>
        <item x="13"/>
        <item x="7"/>
        <item x="14"/>
        <item x="5"/>
        <item x="2"/>
        <item x="11"/>
        <item x="0"/>
        <item x="9"/>
        <item t="default"/>
      </items>
    </pivotField>
    <pivotField showAll="0">
      <items count="4">
        <item h="1" x="2"/>
        <item x="0"/>
        <item h="1" x="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Total" fld="7" baseField="0" baseItem="0" numFmtId="44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gamento" xr10:uid="{FB1361B2-F9AB-44B2-B908-E14DD7639487}" sourceName="Pagamento">
  <pivotTables>
    <pivotTable tabId="3" name="Tabela dinâmica1"/>
    <pivotTable tabId="3" name="Tabela dinâmica2"/>
    <pivotTable tabId="3" name="Tabela dinâmica3"/>
  </pivotTables>
  <data>
    <tabular pivotCacheId="1415383408">
      <items count="3">
        <i x="2"/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D995D1D-7CE4-48A6-ACB8-2D9A5F82C36F}" sourceName="Status">
  <pivotTables>
    <pivotTable tabId="3" name="Tabela dinâmica18"/>
  </pivotTables>
  <data>
    <tabular pivotCacheId="1603492871">
      <items count="3">
        <i x="2" s="1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Pagamento" xr10:uid="{3E555120-81C4-4F3E-B0E0-E45D08372D06}" cache="SegmentaçãodeDados_Pagamento" caption="Pagamento" rowHeight="241300"/>
  <slicer name="Status" xr10:uid="{B31223D9-5669-426D-A210-F48C1252D844}" cache="SegmentaçãodeDados_Status" caption="Statu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B4E3A-09B5-473E-A1B0-56499288AEE8}" name="Tabela1" displayName="Tabela1" ref="A1:J41" totalsRowShown="0">
  <autoFilter ref="A1:J41" xr:uid="{641B4E3A-09B5-473E-A1B0-56499288AEE8}"/>
  <tableColumns count="10">
    <tableColumn id="1" xr3:uid="{E794EF5A-995F-4544-A199-EC16B92D904A}" name="ID Pedido" dataDxfId="61"/>
    <tableColumn id="2" xr3:uid="{1EF401DE-A704-4818-A4DB-A0DA89F0C0F7}" name="Data" dataDxfId="59"/>
    <tableColumn id="3" xr3:uid="{3C76BF27-0146-4070-BAAB-F1E18FC0EF97}" name="Cliente" dataDxfId="60"/>
    <tableColumn id="4" xr3:uid="{D84ECA98-F72C-4086-9A33-6519C47D089C}" name="Produto"/>
    <tableColumn id="5" xr3:uid="{0B0C651B-4DBC-487D-9FD5-F83C09E77B4B}" name="Categoria"/>
    <tableColumn id="6" xr3:uid="{571EF0AF-6D1C-4D5C-887C-BC1F7C055C8E}" name="Qtd"/>
    <tableColumn id="7" xr3:uid="{47C911ED-1D07-4BFE-8B59-68117C451F04}" name="Valor Unit." dataCellStyle="Moeda"/>
    <tableColumn id="8" xr3:uid="{DF7979EF-2827-484F-9219-79C4F2CFCA58}" name="Valor Total" dataCellStyle="Moeda"/>
    <tableColumn id="9" xr3:uid="{22138372-D451-4541-A941-76CDA468151A}" name="Pagamento"/>
    <tableColumn id="10" xr3:uid="{A0A6C1C1-87E6-4F12-B735-B178324533EE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9369-9C8D-4C70-BA63-0D1A385565F3}">
  <dimension ref="A1:Z41"/>
  <sheetViews>
    <sheetView showGridLines="0" topLeftCell="B1" workbookViewId="0">
      <selection activeCell="J9" sqref="J9"/>
    </sheetView>
  </sheetViews>
  <sheetFormatPr defaultColWidth="0" defaultRowHeight="12" x14ac:dyDescent="0.2"/>
  <cols>
    <col min="1" max="1" width="14.140625" style="1" customWidth="1"/>
    <col min="2" max="10" width="19.7109375" style="1" customWidth="1"/>
    <col min="11" max="26" width="0" style="1" hidden="1"/>
    <col min="27" max="16384" width="9.140625" style="1" hidden="1"/>
  </cols>
  <sheetData>
    <row r="1" spans="1:10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.5" thickBot="1" x14ac:dyDescent="0.25">
      <c r="A2" s="3">
        <v>1001</v>
      </c>
      <c r="B2" s="4">
        <v>45962</v>
      </c>
      <c r="C2" s="2" t="s">
        <v>10</v>
      </c>
      <c r="D2" s="2" t="s">
        <v>11</v>
      </c>
      <c r="E2" s="2" t="s">
        <v>12</v>
      </c>
      <c r="F2" s="3">
        <v>1</v>
      </c>
      <c r="G2" s="11">
        <v>2500</v>
      </c>
      <c r="H2" s="11">
        <v>2500</v>
      </c>
      <c r="I2" s="2" t="s">
        <v>13</v>
      </c>
      <c r="J2" s="2" t="s">
        <v>14</v>
      </c>
    </row>
    <row r="3" spans="1:10" ht="13.5" thickBot="1" x14ac:dyDescent="0.25">
      <c r="A3" s="3">
        <v>1002</v>
      </c>
      <c r="B3" s="4">
        <v>45963</v>
      </c>
      <c r="C3" s="2" t="s">
        <v>15</v>
      </c>
      <c r="D3" s="2" t="s">
        <v>16</v>
      </c>
      <c r="E3" s="2" t="s">
        <v>17</v>
      </c>
      <c r="F3" s="3">
        <v>2</v>
      </c>
      <c r="G3" s="11">
        <v>150</v>
      </c>
      <c r="H3" s="11">
        <v>300</v>
      </c>
      <c r="I3" s="2" t="s">
        <v>18</v>
      </c>
      <c r="J3" s="2" t="s">
        <v>14</v>
      </c>
    </row>
    <row r="4" spans="1:10" ht="13.5" thickBot="1" x14ac:dyDescent="0.25">
      <c r="A4" s="3">
        <v>1003</v>
      </c>
      <c r="B4" s="4">
        <v>45964</v>
      </c>
      <c r="C4" s="2" t="s">
        <v>19</v>
      </c>
      <c r="D4" s="2" t="s">
        <v>20</v>
      </c>
      <c r="E4" s="2" t="s">
        <v>21</v>
      </c>
      <c r="F4" s="3">
        <v>1</v>
      </c>
      <c r="G4" s="11">
        <v>1200</v>
      </c>
      <c r="H4" s="11">
        <v>1200</v>
      </c>
      <c r="I4" s="2" t="s">
        <v>13</v>
      </c>
      <c r="J4" s="2" t="s">
        <v>22</v>
      </c>
    </row>
    <row r="5" spans="1:10" ht="13.5" thickBot="1" x14ac:dyDescent="0.25">
      <c r="A5" s="3">
        <v>1004</v>
      </c>
      <c r="B5" s="4">
        <v>45966</v>
      </c>
      <c r="C5" s="2" t="s">
        <v>23</v>
      </c>
      <c r="D5" s="2" t="s">
        <v>24</v>
      </c>
      <c r="E5" s="2" t="s">
        <v>25</v>
      </c>
      <c r="F5" s="3">
        <v>1</v>
      </c>
      <c r="G5" s="11">
        <v>350</v>
      </c>
      <c r="H5" s="11">
        <v>350</v>
      </c>
      <c r="I5" s="2" t="s">
        <v>26</v>
      </c>
      <c r="J5" s="2" t="s">
        <v>14</v>
      </c>
    </row>
    <row r="6" spans="1:10" ht="13.5" thickBot="1" x14ac:dyDescent="0.25">
      <c r="A6" s="3">
        <v>1005</v>
      </c>
      <c r="B6" s="4">
        <v>45967</v>
      </c>
      <c r="C6" s="2" t="s">
        <v>27</v>
      </c>
      <c r="D6" s="2" t="s">
        <v>28</v>
      </c>
      <c r="E6" s="2" t="s">
        <v>25</v>
      </c>
      <c r="F6" s="3">
        <v>3</v>
      </c>
      <c r="G6" s="11">
        <v>80</v>
      </c>
      <c r="H6" s="11">
        <v>240</v>
      </c>
      <c r="I6" s="2" t="s">
        <v>18</v>
      </c>
      <c r="J6" s="2" t="s">
        <v>14</v>
      </c>
    </row>
    <row r="7" spans="1:10" ht="13.5" thickBot="1" x14ac:dyDescent="0.25">
      <c r="A7" s="3">
        <v>1006</v>
      </c>
      <c r="B7" s="4">
        <v>45969</v>
      </c>
      <c r="C7" s="2" t="s">
        <v>29</v>
      </c>
      <c r="D7" s="2" t="s">
        <v>30</v>
      </c>
      <c r="E7" s="2" t="s">
        <v>12</v>
      </c>
      <c r="F7" s="3">
        <v>1</v>
      </c>
      <c r="G7" s="11">
        <v>900</v>
      </c>
      <c r="H7" s="11">
        <v>900</v>
      </c>
      <c r="I7" s="2" t="s">
        <v>13</v>
      </c>
      <c r="J7" s="2" t="s">
        <v>31</v>
      </c>
    </row>
    <row r="8" spans="1:10" ht="13.5" thickBot="1" x14ac:dyDescent="0.25">
      <c r="A8" s="3">
        <v>1007</v>
      </c>
      <c r="B8" s="4">
        <v>45971</v>
      </c>
      <c r="C8" s="2" t="s">
        <v>32</v>
      </c>
      <c r="D8" s="2" t="s">
        <v>33</v>
      </c>
      <c r="E8" s="2" t="s">
        <v>17</v>
      </c>
      <c r="F8" s="3">
        <v>5</v>
      </c>
      <c r="G8" s="11">
        <v>30</v>
      </c>
      <c r="H8" s="11">
        <v>150</v>
      </c>
      <c r="I8" s="2" t="s">
        <v>18</v>
      </c>
      <c r="J8" s="2" t="s">
        <v>14</v>
      </c>
    </row>
    <row r="9" spans="1:10" ht="13.5" thickBot="1" x14ac:dyDescent="0.25">
      <c r="A9" s="3">
        <v>1008</v>
      </c>
      <c r="B9" s="4">
        <v>45973</v>
      </c>
      <c r="C9" s="2" t="s">
        <v>34</v>
      </c>
      <c r="D9" s="2" t="s">
        <v>35</v>
      </c>
      <c r="E9" s="2" t="s">
        <v>21</v>
      </c>
      <c r="F9" s="3">
        <v>1</v>
      </c>
      <c r="G9" s="11">
        <v>650</v>
      </c>
      <c r="H9" s="11">
        <v>650</v>
      </c>
      <c r="I9" s="2" t="s">
        <v>13</v>
      </c>
      <c r="J9" s="2" t="s">
        <v>14</v>
      </c>
    </row>
    <row r="10" spans="1:10" ht="13.5" thickBot="1" x14ac:dyDescent="0.25">
      <c r="A10" s="3">
        <v>1009</v>
      </c>
      <c r="B10" s="4">
        <v>45975</v>
      </c>
      <c r="C10" s="2" t="s">
        <v>36</v>
      </c>
      <c r="D10" s="2" t="s">
        <v>37</v>
      </c>
      <c r="E10" s="2" t="s">
        <v>25</v>
      </c>
      <c r="F10" s="3">
        <v>1</v>
      </c>
      <c r="G10" s="11">
        <v>200</v>
      </c>
      <c r="H10" s="11">
        <v>200</v>
      </c>
      <c r="I10" s="2" t="s">
        <v>18</v>
      </c>
      <c r="J10" s="2" t="s">
        <v>14</v>
      </c>
    </row>
    <row r="11" spans="1:10" ht="13.5" thickBot="1" x14ac:dyDescent="0.25">
      <c r="A11" s="3">
        <v>1010</v>
      </c>
      <c r="B11" s="4">
        <v>45976</v>
      </c>
      <c r="C11" s="2" t="s">
        <v>38</v>
      </c>
      <c r="D11" s="2" t="s">
        <v>39</v>
      </c>
      <c r="E11" s="2" t="s">
        <v>12</v>
      </c>
      <c r="F11" s="3">
        <v>1</v>
      </c>
      <c r="G11" s="11">
        <v>5500</v>
      </c>
      <c r="H11" s="11">
        <v>5500</v>
      </c>
      <c r="I11" s="2" t="s">
        <v>13</v>
      </c>
      <c r="J11" s="2" t="s">
        <v>14</v>
      </c>
    </row>
    <row r="12" spans="1:10" ht="13.5" thickBot="1" x14ac:dyDescent="0.25">
      <c r="A12" s="3">
        <v>1011</v>
      </c>
      <c r="B12" s="4">
        <v>45978</v>
      </c>
      <c r="C12" s="2" t="s">
        <v>40</v>
      </c>
      <c r="D12" s="2" t="s">
        <v>11</v>
      </c>
      <c r="E12" s="2" t="s">
        <v>12</v>
      </c>
      <c r="F12" s="3">
        <v>1</v>
      </c>
      <c r="G12" s="11">
        <v>2500</v>
      </c>
      <c r="H12" s="11">
        <v>2500</v>
      </c>
      <c r="I12" s="2" t="s">
        <v>18</v>
      </c>
      <c r="J12" s="2" t="s">
        <v>14</v>
      </c>
    </row>
    <row r="13" spans="1:10" ht="13.5" thickBot="1" x14ac:dyDescent="0.25">
      <c r="A13" s="3">
        <v>1012</v>
      </c>
      <c r="B13" s="4">
        <v>45979</v>
      </c>
      <c r="C13" s="2" t="s">
        <v>41</v>
      </c>
      <c r="D13" s="2" t="s">
        <v>16</v>
      </c>
      <c r="E13" s="2" t="s">
        <v>17</v>
      </c>
      <c r="F13" s="3">
        <v>1</v>
      </c>
      <c r="G13" s="11">
        <v>150</v>
      </c>
      <c r="H13" s="11">
        <v>150</v>
      </c>
      <c r="I13" s="2" t="s">
        <v>13</v>
      </c>
      <c r="J13" s="2" t="s">
        <v>22</v>
      </c>
    </row>
    <row r="14" spans="1:10" ht="13.5" thickBot="1" x14ac:dyDescent="0.25">
      <c r="A14" s="3">
        <v>1013</v>
      </c>
      <c r="B14" s="4">
        <v>45981</v>
      </c>
      <c r="C14" s="2" t="s">
        <v>42</v>
      </c>
      <c r="D14" s="2" t="s">
        <v>20</v>
      </c>
      <c r="E14" s="2" t="s">
        <v>21</v>
      </c>
      <c r="F14" s="3">
        <v>1</v>
      </c>
      <c r="G14" s="11">
        <v>1200</v>
      </c>
      <c r="H14" s="11">
        <v>1200</v>
      </c>
      <c r="I14" s="2" t="s">
        <v>26</v>
      </c>
      <c r="J14" s="2" t="s">
        <v>14</v>
      </c>
    </row>
    <row r="15" spans="1:10" ht="13.5" thickBot="1" x14ac:dyDescent="0.25">
      <c r="A15" s="3">
        <v>1014</v>
      </c>
      <c r="B15" s="4">
        <v>45983</v>
      </c>
      <c r="C15" s="2" t="s">
        <v>43</v>
      </c>
      <c r="D15" s="2" t="s">
        <v>24</v>
      </c>
      <c r="E15" s="2" t="s">
        <v>25</v>
      </c>
      <c r="F15" s="3">
        <v>1</v>
      </c>
      <c r="G15" s="11">
        <v>350</v>
      </c>
      <c r="H15" s="11">
        <v>350</v>
      </c>
      <c r="I15" s="2" t="s">
        <v>18</v>
      </c>
      <c r="J15" s="2" t="s">
        <v>14</v>
      </c>
    </row>
    <row r="16" spans="1:10" ht="13.5" thickBot="1" x14ac:dyDescent="0.25">
      <c r="A16" s="3">
        <v>1015</v>
      </c>
      <c r="B16" s="4">
        <v>45984</v>
      </c>
      <c r="C16" s="2" t="s">
        <v>44</v>
      </c>
      <c r="D16" s="2" t="s">
        <v>28</v>
      </c>
      <c r="E16" s="2" t="s">
        <v>25</v>
      </c>
      <c r="F16" s="3">
        <v>2</v>
      </c>
      <c r="G16" s="11">
        <v>80</v>
      </c>
      <c r="H16" s="11">
        <v>160</v>
      </c>
      <c r="I16" s="2" t="s">
        <v>13</v>
      </c>
      <c r="J16" s="2" t="s">
        <v>14</v>
      </c>
    </row>
    <row r="17" spans="1:10" ht="13.5" thickBot="1" x14ac:dyDescent="0.25">
      <c r="A17" s="3">
        <v>1016</v>
      </c>
      <c r="B17" s="4">
        <v>45986</v>
      </c>
      <c r="C17" s="2" t="s">
        <v>45</v>
      </c>
      <c r="D17" s="2" t="s">
        <v>30</v>
      </c>
      <c r="E17" s="2" t="s">
        <v>12</v>
      </c>
      <c r="F17" s="3">
        <v>2</v>
      </c>
      <c r="G17" s="11">
        <v>900</v>
      </c>
      <c r="H17" s="11">
        <v>1800</v>
      </c>
      <c r="I17" s="2" t="s">
        <v>13</v>
      </c>
      <c r="J17" s="2" t="s">
        <v>14</v>
      </c>
    </row>
    <row r="18" spans="1:10" ht="13.5" thickBot="1" x14ac:dyDescent="0.25">
      <c r="A18" s="3">
        <v>1017</v>
      </c>
      <c r="B18" s="4">
        <v>45987</v>
      </c>
      <c r="C18" s="2" t="s">
        <v>46</v>
      </c>
      <c r="D18" s="2" t="s">
        <v>33</v>
      </c>
      <c r="E18" s="2" t="s">
        <v>17</v>
      </c>
      <c r="F18" s="3">
        <v>1</v>
      </c>
      <c r="G18" s="11">
        <v>30</v>
      </c>
      <c r="H18" s="11">
        <v>30</v>
      </c>
      <c r="I18" s="2" t="s">
        <v>18</v>
      </c>
      <c r="J18" s="2" t="s">
        <v>14</v>
      </c>
    </row>
    <row r="19" spans="1:10" ht="13.5" thickBot="1" x14ac:dyDescent="0.25">
      <c r="A19" s="3">
        <v>1018</v>
      </c>
      <c r="B19" s="4">
        <v>45989</v>
      </c>
      <c r="C19" s="2" t="s">
        <v>47</v>
      </c>
      <c r="D19" s="2" t="s">
        <v>35</v>
      </c>
      <c r="E19" s="2" t="s">
        <v>21</v>
      </c>
      <c r="F19" s="3">
        <v>1</v>
      </c>
      <c r="G19" s="11">
        <v>650</v>
      </c>
      <c r="H19" s="11">
        <v>650</v>
      </c>
      <c r="I19" s="2" t="s">
        <v>26</v>
      </c>
      <c r="J19" s="2" t="s">
        <v>31</v>
      </c>
    </row>
    <row r="20" spans="1:10" ht="13.5" thickBot="1" x14ac:dyDescent="0.25">
      <c r="A20" s="3">
        <v>1019</v>
      </c>
      <c r="B20" s="4">
        <v>45991</v>
      </c>
      <c r="C20" s="2" t="s">
        <v>48</v>
      </c>
      <c r="D20" s="2" t="s">
        <v>37</v>
      </c>
      <c r="E20" s="2" t="s">
        <v>25</v>
      </c>
      <c r="F20" s="3">
        <v>1</v>
      </c>
      <c r="G20" s="11">
        <v>200</v>
      </c>
      <c r="H20" s="11">
        <v>200</v>
      </c>
      <c r="I20" s="2" t="s">
        <v>18</v>
      </c>
      <c r="J20" s="2" t="s">
        <v>14</v>
      </c>
    </row>
    <row r="21" spans="1:10" ht="13.5" thickBot="1" x14ac:dyDescent="0.25">
      <c r="A21" s="3">
        <v>1020</v>
      </c>
      <c r="B21" s="4">
        <v>45992</v>
      </c>
      <c r="C21" s="2" t="s">
        <v>49</v>
      </c>
      <c r="D21" s="2" t="s">
        <v>39</v>
      </c>
      <c r="E21" s="2" t="s">
        <v>12</v>
      </c>
      <c r="F21" s="3">
        <v>1</v>
      </c>
      <c r="G21" s="11">
        <v>5500</v>
      </c>
      <c r="H21" s="11">
        <v>5500</v>
      </c>
      <c r="I21" s="2" t="s">
        <v>13</v>
      </c>
      <c r="J21" s="2" t="s">
        <v>14</v>
      </c>
    </row>
    <row r="22" spans="1:10" ht="13.5" thickBot="1" x14ac:dyDescent="0.25">
      <c r="A22" s="3">
        <v>1021</v>
      </c>
      <c r="B22" s="4">
        <v>45993</v>
      </c>
      <c r="C22" s="2" t="s">
        <v>50</v>
      </c>
      <c r="D22" s="2" t="s">
        <v>11</v>
      </c>
      <c r="E22" s="2" t="s">
        <v>12</v>
      </c>
      <c r="F22" s="3">
        <v>1</v>
      </c>
      <c r="G22" s="11">
        <v>2500</v>
      </c>
      <c r="H22" s="11">
        <v>2500</v>
      </c>
      <c r="I22" s="2" t="s">
        <v>18</v>
      </c>
      <c r="J22" s="2" t="s">
        <v>14</v>
      </c>
    </row>
    <row r="23" spans="1:10" ht="13.5" thickBot="1" x14ac:dyDescent="0.25">
      <c r="A23" s="3">
        <v>1022</v>
      </c>
      <c r="B23" s="4">
        <v>45994</v>
      </c>
      <c r="C23" s="2" t="s">
        <v>51</v>
      </c>
      <c r="D23" s="2" t="s">
        <v>16</v>
      </c>
      <c r="E23" s="2" t="s">
        <v>17</v>
      </c>
      <c r="F23" s="3">
        <v>3</v>
      </c>
      <c r="G23" s="11">
        <v>150</v>
      </c>
      <c r="H23" s="11">
        <v>450</v>
      </c>
      <c r="I23" s="2" t="s">
        <v>13</v>
      </c>
      <c r="J23" s="2" t="s">
        <v>14</v>
      </c>
    </row>
    <row r="24" spans="1:10" ht="13.5" thickBot="1" x14ac:dyDescent="0.25">
      <c r="A24" s="3">
        <v>1023</v>
      </c>
      <c r="B24" s="4">
        <v>45996</v>
      </c>
      <c r="C24" s="2" t="s">
        <v>52</v>
      </c>
      <c r="D24" s="2" t="s">
        <v>20</v>
      </c>
      <c r="E24" s="2" t="s">
        <v>21</v>
      </c>
      <c r="F24" s="3">
        <v>1</v>
      </c>
      <c r="G24" s="11">
        <v>1200</v>
      </c>
      <c r="H24" s="11">
        <v>1200</v>
      </c>
      <c r="I24" s="2" t="s">
        <v>18</v>
      </c>
      <c r="J24" s="2" t="s">
        <v>22</v>
      </c>
    </row>
    <row r="25" spans="1:10" ht="13.5" thickBot="1" x14ac:dyDescent="0.25">
      <c r="A25" s="3">
        <v>1024</v>
      </c>
      <c r="B25" s="4">
        <v>45997</v>
      </c>
      <c r="C25" s="2" t="s">
        <v>53</v>
      </c>
      <c r="D25" s="2" t="s">
        <v>24</v>
      </c>
      <c r="E25" s="2" t="s">
        <v>25</v>
      </c>
      <c r="F25" s="3">
        <v>2</v>
      </c>
      <c r="G25" s="11">
        <v>350</v>
      </c>
      <c r="H25" s="11">
        <v>700</v>
      </c>
      <c r="I25" s="2" t="s">
        <v>13</v>
      </c>
      <c r="J25" s="2" t="s">
        <v>14</v>
      </c>
    </row>
    <row r="26" spans="1:10" ht="13.5" thickBot="1" x14ac:dyDescent="0.25">
      <c r="A26" s="3">
        <v>1025</v>
      </c>
      <c r="B26" s="4">
        <v>45998</v>
      </c>
      <c r="C26" s="2" t="s">
        <v>54</v>
      </c>
      <c r="D26" s="2" t="s">
        <v>28</v>
      </c>
      <c r="E26" s="2" t="s">
        <v>25</v>
      </c>
      <c r="F26" s="3">
        <v>1</v>
      </c>
      <c r="G26" s="11">
        <v>80</v>
      </c>
      <c r="H26" s="11">
        <v>80</v>
      </c>
      <c r="I26" s="2" t="s">
        <v>18</v>
      </c>
      <c r="J26" s="2" t="s">
        <v>14</v>
      </c>
    </row>
    <row r="27" spans="1:10" ht="13.5" thickBot="1" x14ac:dyDescent="0.25">
      <c r="A27" s="3">
        <v>1026</v>
      </c>
      <c r="B27" s="4">
        <v>46000</v>
      </c>
      <c r="C27" s="2" t="s">
        <v>55</v>
      </c>
      <c r="D27" s="2" t="s">
        <v>30</v>
      </c>
      <c r="E27" s="2" t="s">
        <v>12</v>
      </c>
      <c r="F27" s="3">
        <v>1</v>
      </c>
      <c r="G27" s="11">
        <v>900</v>
      </c>
      <c r="H27" s="11">
        <v>900</v>
      </c>
      <c r="I27" s="2" t="s">
        <v>26</v>
      </c>
      <c r="J27" s="2" t="s">
        <v>14</v>
      </c>
    </row>
    <row r="28" spans="1:10" ht="13.5" thickBot="1" x14ac:dyDescent="0.25">
      <c r="A28" s="3">
        <v>1027</v>
      </c>
      <c r="B28" s="4">
        <v>46001</v>
      </c>
      <c r="C28" s="2" t="s">
        <v>56</v>
      </c>
      <c r="D28" s="2" t="s">
        <v>33</v>
      </c>
      <c r="E28" s="2" t="s">
        <v>17</v>
      </c>
      <c r="F28" s="3">
        <v>4</v>
      </c>
      <c r="G28" s="11">
        <v>30</v>
      </c>
      <c r="H28" s="11">
        <v>120</v>
      </c>
      <c r="I28" s="2" t="s">
        <v>18</v>
      </c>
      <c r="J28" s="2" t="s">
        <v>14</v>
      </c>
    </row>
    <row r="29" spans="1:10" ht="13.5" thickBot="1" x14ac:dyDescent="0.25">
      <c r="A29" s="3">
        <v>1028</v>
      </c>
      <c r="B29" s="4">
        <v>46003</v>
      </c>
      <c r="C29" s="2" t="s">
        <v>57</v>
      </c>
      <c r="D29" s="2" t="s">
        <v>35</v>
      </c>
      <c r="E29" s="2" t="s">
        <v>21</v>
      </c>
      <c r="F29" s="3">
        <v>1</v>
      </c>
      <c r="G29" s="11">
        <v>650</v>
      </c>
      <c r="H29" s="11">
        <v>650</v>
      </c>
      <c r="I29" s="2" t="s">
        <v>13</v>
      </c>
      <c r="J29" s="2" t="s">
        <v>14</v>
      </c>
    </row>
    <row r="30" spans="1:10" ht="13.5" thickBot="1" x14ac:dyDescent="0.25">
      <c r="A30" s="3">
        <v>1029</v>
      </c>
      <c r="B30" s="4">
        <v>46005</v>
      </c>
      <c r="C30" s="2" t="s">
        <v>58</v>
      </c>
      <c r="D30" s="2" t="s">
        <v>37</v>
      </c>
      <c r="E30" s="2" t="s">
        <v>25</v>
      </c>
      <c r="F30" s="3">
        <v>1</v>
      </c>
      <c r="G30" s="11">
        <v>200</v>
      </c>
      <c r="H30" s="11">
        <v>200</v>
      </c>
      <c r="I30" s="2" t="s">
        <v>18</v>
      </c>
      <c r="J30" s="2" t="s">
        <v>14</v>
      </c>
    </row>
    <row r="31" spans="1:10" ht="13.5" thickBot="1" x14ac:dyDescent="0.25">
      <c r="A31" s="3">
        <v>1030</v>
      </c>
      <c r="B31" s="4">
        <v>46006</v>
      </c>
      <c r="C31" s="2" t="s">
        <v>59</v>
      </c>
      <c r="D31" s="2" t="s">
        <v>39</v>
      </c>
      <c r="E31" s="2" t="s">
        <v>12</v>
      </c>
      <c r="F31" s="3">
        <v>1</v>
      </c>
      <c r="G31" s="11">
        <v>5500</v>
      </c>
      <c r="H31" s="11">
        <v>5500</v>
      </c>
      <c r="I31" s="2" t="s">
        <v>13</v>
      </c>
      <c r="J31" s="2" t="s">
        <v>22</v>
      </c>
    </row>
    <row r="32" spans="1:10" ht="13.5" thickBot="1" x14ac:dyDescent="0.25">
      <c r="A32" s="3">
        <v>1031</v>
      </c>
      <c r="B32" s="4">
        <v>46007</v>
      </c>
      <c r="C32" s="2" t="s">
        <v>60</v>
      </c>
      <c r="D32" s="2" t="s">
        <v>11</v>
      </c>
      <c r="E32" s="2" t="s">
        <v>12</v>
      </c>
      <c r="F32" s="3">
        <v>1</v>
      </c>
      <c r="G32" s="11">
        <v>2500</v>
      </c>
      <c r="H32" s="11">
        <v>2500</v>
      </c>
      <c r="I32" s="2" t="s">
        <v>18</v>
      </c>
      <c r="J32" s="2" t="s">
        <v>14</v>
      </c>
    </row>
    <row r="33" spans="1:10" ht="13.5" thickBot="1" x14ac:dyDescent="0.25">
      <c r="A33" s="3">
        <v>1032</v>
      </c>
      <c r="B33" s="4">
        <v>46008</v>
      </c>
      <c r="C33" s="2" t="s">
        <v>61</v>
      </c>
      <c r="D33" s="2" t="s">
        <v>16</v>
      </c>
      <c r="E33" s="2" t="s">
        <v>17</v>
      </c>
      <c r="F33" s="3">
        <v>1</v>
      </c>
      <c r="G33" s="11">
        <v>150</v>
      </c>
      <c r="H33" s="11">
        <v>150</v>
      </c>
      <c r="I33" s="2" t="s">
        <v>13</v>
      </c>
      <c r="J33" s="2" t="s">
        <v>31</v>
      </c>
    </row>
    <row r="34" spans="1:10" ht="13.5" thickBot="1" x14ac:dyDescent="0.25">
      <c r="A34" s="3">
        <v>1033</v>
      </c>
      <c r="B34" s="4">
        <v>46009</v>
      </c>
      <c r="C34" s="2" t="s">
        <v>62</v>
      </c>
      <c r="D34" s="2" t="s">
        <v>20</v>
      </c>
      <c r="E34" s="2" t="s">
        <v>21</v>
      </c>
      <c r="F34" s="3">
        <v>1</v>
      </c>
      <c r="G34" s="11">
        <v>1200</v>
      </c>
      <c r="H34" s="11">
        <v>1200</v>
      </c>
      <c r="I34" s="2" t="s">
        <v>18</v>
      </c>
      <c r="J34" s="2" t="s">
        <v>14</v>
      </c>
    </row>
    <row r="35" spans="1:10" ht="13.5" thickBot="1" x14ac:dyDescent="0.25">
      <c r="A35" s="3">
        <v>1034</v>
      </c>
      <c r="B35" s="4">
        <v>46010</v>
      </c>
      <c r="C35" s="2" t="s">
        <v>63</v>
      </c>
      <c r="D35" s="2" t="s">
        <v>24</v>
      </c>
      <c r="E35" s="2" t="s">
        <v>25</v>
      </c>
      <c r="F35" s="3">
        <v>1</v>
      </c>
      <c r="G35" s="11">
        <v>350</v>
      </c>
      <c r="H35" s="11">
        <v>350</v>
      </c>
      <c r="I35" s="2" t="s">
        <v>13</v>
      </c>
      <c r="J35" s="2" t="s">
        <v>14</v>
      </c>
    </row>
    <row r="36" spans="1:10" ht="13.5" thickBot="1" x14ac:dyDescent="0.25">
      <c r="A36" s="3">
        <v>1035</v>
      </c>
      <c r="B36" s="4">
        <v>46011</v>
      </c>
      <c r="C36" s="2" t="s">
        <v>64</v>
      </c>
      <c r="D36" s="2" t="s">
        <v>28</v>
      </c>
      <c r="E36" s="2" t="s">
        <v>25</v>
      </c>
      <c r="F36" s="3">
        <v>5</v>
      </c>
      <c r="G36" s="11">
        <v>80</v>
      </c>
      <c r="H36" s="11">
        <v>400</v>
      </c>
      <c r="I36" s="2" t="s">
        <v>18</v>
      </c>
      <c r="J36" s="2" t="s">
        <v>14</v>
      </c>
    </row>
    <row r="37" spans="1:10" ht="13.5" thickBot="1" x14ac:dyDescent="0.25">
      <c r="A37" s="3">
        <v>1036</v>
      </c>
      <c r="B37" s="4">
        <v>46012</v>
      </c>
      <c r="C37" s="2" t="s">
        <v>65</v>
      </c>
      <c r="D37" s="2" t="s">
        <v>30</v>
      </c>
      <c r="E37" s="2" t="s">
        <v>12</v>
      </c>
      <c r="F37" s="3">
        <v>1</v>
      </c>
      <c r="G37" s="11">
        <v>900</v>
      </c>
      <c r="H37" s="11">
        <v>900</v>
      </c>
      <c r="I37" s="2" t="s">
        <v>26</v>
      </c>
      <c r="J37" s="2" t="s">
        <v>14</v>
      </c>
    </row>
    <row r="38" spans="1:10" ht="13.5" thickBot="1" x14ac:dyDescent="0.25">
      <c r="A38" s="3">
        <v>1037</v>
      </c>
      <c r="B38" s="4">
        <v>46012</v>
      </c>
      <c r="C38" s="2" t="s">
        <v>66</v>
      </c>
      <c r="D38" s="2" t="s">
        <v>33</v>
      </c>
      <c r="E38" s="2" t="s">
        <v>17</v>
      </c>
      <c r="F38" s="3">
        <v>2</v>
      </c>
      <c r="G38" s="11">
        <v>30</v>
      </c>
      <c r="H38" s="11">
        <v>60</v>
      </c>
      <c r="I38" s="2" t="s">
        <v>18</v>
      </c>
      <c r="J38" s="2" t="s">
        <v>14</v>
      </c>
    </row>
    <row r="39" spans="1:10" ht="13.5" thickBot="1" x14ac:dyDescent="0.25">
      <c r="A39" s="3">
        <v>1038</v>
      </c>
      <c r="B39" s="4">
        <v>46013</v>
      </c>
      <c r="C39" s="2" t="s">
        <v>67</v>
      </c>
      <c r="D39" s="2" t="s">
        <v>35</v>
      </c>
      <c r="E39" s="2" t="s">
        <v>21</v>
      </c>
      <c r="F39" s="3">
        <v>1</v>
      </c>
      <c r="G39" s="11">
        <v>650</v>
      </c>
      <c r="H39" s="11">
        <v>650</v>
      </c>
      <c r="I39" s="2" t="s">
        <v>13</v>
      </c>
      <c r="J39" s="2" t="s">
        <v>14</v>
      </c>
    </row>
    <row r="40" spans="1:10" ht="13.5" thickBot="1" x14ac:dyDescent="0.25">
      <c r="A40" s="3">
        <v>1039</v>
      </c>
      <c r="B40" s="4">
        <v>46013</v>
      </c>
      <c r="C40" s="2" t="s">
        <v>68</v>
      </c>
      <c r="D40" s="2" t="s">
        <v>37</v>
      </c>
      <c r="E40" s="2" t="s">
        <v>25</v>
      </c>
      <c r="F40" s="3">
        <v>2</v>
      </c>
      <c r="G40" s="11">
        <v>200</v>
      </c>
      <c r="H40" s="11">
        <v>400</v>
      </c>
      <c r="I40" s="2" t="s">
        <v>18</v>
      </c>
      <c r="J40" s="2" t="s">
        <v>14</v>
      </c>
    </row>
    <row r="41" spans="1:10" ht="13.5" thickBot="1" x14ac:dyDescent="0.25">
      <c r="A41" s="3">
        <v>1040</v>
      </c>
      <c r="B41" s="4">
        <v>46013</v>
      </c>
      <c r="C41" s="2" t="s">
        <v>69</v>
      </c>
      <c r="D41" s="2" t="s">
        <v>39</v>
      </c>
      <c r="E41" s="2" t="s">
        <v>12</v>
      </c>
      <c r="F41" s="3">
        <v>1</v>
      </c>
      <c r="G41" s="11">
        <v>5500</v>
      </c>
      <c r="H41" s="11">
        <v>5500</v>
      </c>
      <c r="I41" s="2" t="s">
        <v>13</v>
      </c>
      <c r="J41" s="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5CB2-612B-4E16-88A2-2A51D27E7FE1}">
  <dimension ref="C4:I23"/>
  <sheetViews>
    <sheetView showGridLines="0" workbookViewId="0">
      <selection activeCell="J9" sqref="J9"/>
    </sheetView>
  </sheetViews>
  <sheetFormatPr defaultRowHeight="15" x14ac:dyDescent="0.25"/>
  <cols>
    <col min="3" max="3" width="11.7109375" bestFit="1" customWidth="1"/>
    <col min="4" max="4" width="18.85546875" bestFit="1" customWidth="1"/>
    <col min="5" max="5" width="10.7109375" bestFit="1" customWidth="1"/>
    <col min="6" max="6" width="18" bestFit="1" customWidth="1"/>
    <col min="7" max="7" width="18.85546875" bestFit="1" customWidth="1"/>
    <col min="8" max="12" width="10.7109375" bestFit="1" customWidth="1"/>
    <col min="13" max="14" width="12.140625" bestFit="1" customWidth="1"/>
    <col min="15" max="15" width="10.7109375" bestFit="1" customWidth="1"/>
    <col min="16" max="16" width="12.140625" bestFit="1" customWidth="1"/>
    <col min="17" max="18" width="10.7109375" bestFit="1" customWidth="1"/>
    <col min="19" max="19" width="12.140625" bestFit="1" customWidth="1"/>
    <col min="20" max="22" width="10.7109375" bestFit="1" customWidth="1"/>
    <col min="23" max="24" width="12.140625" bestFit="1" customWidth="1"/>
    <col min="25" max="25" width="10.7109375" bestFit="1" customWidth="1"/>
    <col min="26" max="26" width="12.140625" bestFit="1" customWidth="1"/>
    <col min="27" max="32" width="10.7109375" bestFit="1" customWidth="1"/>
    <col min="33" max="34" width="12.140625" bestFit="1" customWidth="1"/>
    <col min="35" max="35" width="10.7109375" bestFit="1" customWidth="1"/>
    <col min="36" max="36" width="12.140625" bestFit="1" customWidth="1"/>
    <col min="37" max="39" width="10.7109375" bestFit="1" customWidth="1"/>
    <col min="40" max="40" width="12.140625" bestFit="1" customWidth="1"/>
    <col min="41" max="41" width="13.28515625" bestFit="1" customWidth="1"/>
  </cols>
  <sheetData>
    <row r="4" spans="3:9" x14ac:dyDescent="0.25">
      <c r="C4" t="s">
        <v>74</v>
      </c>
      <c r="F4" t="s">
        <v>75</v>
      </c>
    </row>
    <row r="6" spans="3:9" x14ac:dyDescent="0.25">
      <c r="C6" s="8" t="s">
        <v>72</v>
      </c>
      <c r="D6" t="s">
        <v>73</v>
      </c>
      <c r="F6" s="8" t="s">
        <v>72</v>
      </c>
      <c r="G6" t="s">
        <v>73</v>
      </c>
    </row>
    <row r="7" spans="3:9" x14ac:dyDescent="0.25">
      <c r="C7" s="9" t="s">
        <v>20</v>
      </c>
      <c r="D7" s="12">
        <v>1200</v>
      </c>
      <c r="F7" s="9" t="s">
        <v>13</v>
      </c>
      <c r="G7" s="12">
        <v>32310</v>
      </c>
    </row>
    <row r="8" spans="3:9" x14ac:dyDescent="0.25">
      <c r="C8" s="9" t="s">
        <v>16</v>
      </c>
      <c r="D8" s="12">
        <v>750</v>
      </c>
      <c r="F8" s="9" t="s">
        <v>71</v>
      </c>
      <c r="G8" s="12">
        <v>32310</v>
      </c>
    </row>
    <row r="9" spans="3:9" x14ac:dyDescent="0.25">
      <c r="C9" s="9" t="s">
        <v>35</v>
      </c>
      <c r="D9" s="12">
        <v>1950</v>
      </c>
    </row>
    <row r="10" spans="3:9" x14ac:dyDescent="0.25">
      <c r="C10" s="9" t="s">
        <v>30</v>
      </c>
      <c r="D10" s="12">
        <v>2700</v>
      </c>
    </row>
    <row r="11" spans="3:9" x14ac:dyDescent="0.25">
      <c r="C11" s="9" t="s">
        <v>28</v>
      </c>
      <c r="D11" s="12">
        <v>160</v>
      </c>
    </row>
    <row r="12" spans="3:9" x14ac:dyDescent="0.25">
      <c r="C12" s="9" t="s">
        <v>39</v>
      </c>
      <c r="D12" s="12">
        <v>22000</v>
      </c>
      <c r="F12" s="8" t="s">
        <v>72</v>
      </c>
      <c r="G12" t="s">
        <v>76</v>
      </c>
    </row>
    <row r="13" spans="3:9" x14ac:dyDescent="0.25">
      <c r="C13" s="9" t="s">
        <v>11</v>
      </c>
      <c r="D13" s="12">
        <v>2500</v>
      </c>
      <c r="F13" s="9" t="s">
        <v>17</v>
      </c>
      <c r="G13" s="10">
        <v>5</v>
      </c>
      <c r="I13">
        <f>GETPIVOTDATA("Qtd",$F$12,"Categoria","Acessórios")</f>
        <v>5</v>
      </c>
    </row>
    <row r="14" spans="3:9" x14ac:dyDescent="0.25">
      <c r="C14" s="9" t="s">
        <v>24</v>
      </c>
      <c r="D14" s="12">
        <v>1050</v>
      </c>
      <c r="F14" s="9" t="s">
        <v>12</v>
      </c>
      <c r="G14" s="10">
        <v>8</v>
      </c>
      <c r="I14">
        <f>GETPIVOTDATA("Qtd",$F$12,"Categoria","Eletrônicos")</f>
        <v>8</v>
      </c>
    </row>
    <row r="15" spans="3:9" x14ac:dyDescent="0.25">
      <c r="C15" s="9" t="s">
        <v>71</v>
      </c>
      <c r="D15" s="12">
        <v>32310</v>
      </c>
      <c r="F15" s="9" t="s">
        <v>21</v>
      </c>
      <c r="G15" s="10">
        <v>4</v>
      </c>
      <c r="I15">
        <f>GETPIVOTDATA("Qtd",$F$12,"Categoria","Móveis")</f>
        <v>4</v>
      </c>
    </row>
    <row r="16" spans="3:9" x14ac:dyDescent="0.25">
      <c r="F16" s="9" t="s">
        <v>25</v>
      </c>
      <c r="G16" s="10">
        <v>5</v>
      </c>
      <c r="I16">
        <f>GETPIVOTDATA("Qtd",$F$12,"Categoria","Periféricos")</f>
        <v>5</v>
      </c>
    </row>
    <row r="17" spans="3:7" x14ac:dyDescent="0.25">
      <c r="F17" s="9" t="s">
        <v>71</v>
      </c>
      <c r="G17" s="10">
        <v>22</v>
      </c>
    </row>
    <row r="20" spans="3:7" x14ac:dyDescent="0.25">
      <c r="C20" s="8" t="s">
        <v>4</v>
      </c>
      <c r="D20" t="s">
        <v>73</v>
      </c>
    </row>
    <row r="21" spans="3:7" x14ac:dyDescent="0.25">
      <c r="C21" t="s">
        <v>17</v>
      </c>
      <c r="D21" s="12">
        <v>150</v>
      </c>
    </row>
    <row r="22" spans="3:7" x14ac:dyDescent="0.25">
      <c r="C22" t="s">
        <v>12</v>
      </c>
      <c r="D22" s="12">
        <v>900</v>
      </c>
    </row>
    <row r="23" spans="3:7" x14ac:dyDescent="0.25">
      <c r="C23" t="s">
        <v>21</v>
      </c>
      <c r="D23" s="12">
        <v>650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E13E-FE73-4083-A927-BBED1A65A506}">
  <dimension ref="B1:S3"/>
  <sheetViews>
    <sheetView showGridLines="0" tabSelected="1" zoomScaleNormal="100" workbookViewId="0">
      <selection activeCell="J13" sqref="J13"/>
    </sheetView>
  </sheetViews>
  <sheetFormatPr defaultColWidth="0" defaultRowHeight="15" x14ac:dyDescent="0.25"/>
  <cols>
    <col min="1" max="1" width="23.42578125" style="5" customWidth="1"/>
    <col min="2" max="19" width="9.140625" style="7" customWidth="1"/>
    <col min="20" max="20" width="9.140625" style="5" customWidth="1"/>
    <col min="21" max="16384" width="9.140625" style="5" hidden="1"/>
  </cols>
  <sheetData>
    <row r="1" spans="2:19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2:19" ht="20.25" thickBot="1" x14ac:dyDescent="0.35">
      <c r="B2"/>
      <c r="C2" s="6" t="s">
        <v>70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ht="15.75" thickTop="1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Calculo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Almeida Porto</dc:creator>
  <cp:lastModifiedBy>Eduardo Almeida Porto</cp:lastModifiedBy>
  <dcterms:created xsi:type="dcterms:W3CDTF">2025-12-22T23:08:34Z</dcterms:created>
  <dcterms:modified xsi:type="dcterms:W3CDTF">2025-12-22T23:58:35Z</dcterms:modified>
</cp:coreProperties>
</file>